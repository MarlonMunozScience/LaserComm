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885" yWindow="-240" windowWidth="28845" windowHeight="12315" activeTab="6"/>
  </bookViews>
  <sheets>
    <sheet name="CIB" sheetId="1" r:id="rId1"/>
    <sheet name="CMB" sheetId="2" r:id="rId2"/>
    <sheet name="Zodi 90" sheetId="3" r:id="rId3"/>
    <sheet name="Zodi 45" sheetId="6" r:id="rId4"/>
    <sheet name="Zodi 0" sheetId="7" r:id="rId5"/>
    <sheet name="OH Line Bins" sheetId="5" r:id="rId6"/>
    <sheet name="Zodi 90 + Scattered Zodi" sheetId="9" r:id="rId7"/>
    <sheet name="Faint Stars" sheetId="10" r:id="rId8"/>
  </sheets>
  <functionGroups/>
  <calcPr calcId="125725" concurrentCalc="0"/>
</workbook>
</file>

<file path=xl/calcChain.xml><?xml version="1.0" encoding="utf-8"?>
<calcChain xmlns="http://schemas.openxmlformats.org/spreadsheetml/2006/main">
  <c r="P181" i="10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C32"/>
  <c r="E32"/>
  <c r="O32"/>
  <c r="P32"/>
  <c r="H32"/>
  <c r="L32"/>
  <c r="A32"/>
  <c r="N32"/>
  <c r="M32"/>
  <c r="J32"/>
  <c r="K32"/>
  <c r="I32"/>
  <c r="F32"/>
  <c r="D32"/>
  <c r="C31"/>
  <c r="E31"/>
  <c r="O31"/>
  <c r="P31"/>
  <c r="H31"/>
  <c r="L31"/>
  <c r="A31"/>
  <c r="N31"/>
  <c r="M31"/>
  <c r="J31"/>
  <c r="K31"/>
  <c r="I31"/>
  <c r="F31"/>
  <c r="D31"/>
  <c r="C30"/>
  <c r="E30"/>
  <c r="O30"/>
  <c r="P30"/>
  <c r="H30"/>
  <c r="L30"/>
  <c r="A30"/>
  <c r="N30"/>
  <c r="M30"/>
  <c r="J30"/>
  <c r="K30"/>
  <c r="I30"/>
  <c r="F30"/>
  <c r="D30"/>
  <c r="C29"/>
  <c r="E29"/>
  <c r="O29"/>
  <c r="P29"/>
  <c r="H29"/>
  <c r="L29"/>
  <c r="A29"/>
  <c r="N29"/>
  <c r="M29"/>
  <c r="J29"/>
  <c r="K29"/>
  <c r="I29"/>
  <c r="F29"/>
  <c r="D29"/>
  <c r="C28"/>
  <c r="E28"/>
  <c r="O28"/>
  <c r="P28"/>
  <c r="H28"/>
  <c r="L28"/>
  <c r="A28"/>
  <c r="N28"/>
  <c r="M28"/>
  <c r="J28"/>
  <c r="K28"/>
  <c r="I28"/>
  <c r="F28"/>
  <c r="D28"/>
  <c r="C27"/>
  <c r="E27"/>
  <c r="O27"/>
  <c r="P27"/>
  <c r="H27"/>
  <c r="L27"/>
  <c r="A27"/>
  <c r="N27"/>
  <c r="M27"/>
  <c r="J27"/>
  <c r="K27"/>
  <c r="I27"/>
  <c r="F27"/>
  <c r="D27"/>
  <c r="C26"/>
  <c r="E26"/>
  <c r="O26"/>
  <c r="P26"/>
  <c r="H26"/>
  <c r="L26"/>
  <c r="A26"/>
  <c r="N26"/>
  <c r="M26"/>
  <c r="J26"/>
  <c r="K26"/>
  <c r="I26"/>
  <c r="F26"/>
  <c r="D26"/>
  <c r="C25"/>
  <c r="E25"/>
  <c r="O25"/>
  <c r="P25"/>
  <c r="H25"/>
  <c r="L25"/>
  <c r="A25"/>
  <c r="N25"/>
  <c r="M25"/>
  <c r="J25"/>
  <c r="K25"/>
  <c r="I25"/>
  <c r="F25"/>
  <c r="D25"/>
  <c r="C24"/>
  <c r="E24"/>
  <c r="O24"/>
  <c r="P24"/>
  <c r="H24"/>
  <c r="L24"/>
  <c r="A24"/>
  <c r="N24"/>
  <c r="M24"/>
  <c r="J24"/>
  <c r="K24"/>
  <c r="I24"/>
  <c r="F24"/>
  <c r="D24"/>
  <c r="C23"/>
  <c r="E23"/>
  <c r="O23"/>
  <c r="P23"/>
  <c r="H23"/>
  <c r="L23"/>
  <c r="A23"/>
  <c r="N23"/>
  <c r="M23"/>
  <c r="J23"/>
  <c r="K23"/>
  <c r="I23"/>
  <c r="F23"/>
  <c r="D23"/>
  <c r="C22"/>
  <c r="E22"/>
  <c r="O22"/>
  <c r="P22"/>
  <c r="H22"/>
  <c r="L22"/>
  <c r="A22"/>
  <c r="N22"/>
  <c r="M22"/>
  <c r="J22"/>
  <c r="K22"/>
  <c r="I22"/>
  <c r="F22"/>
  <c r="D22"/>
  <c r="C21"/>
  <c r="E21"/>
  <c r="O21"/>
  <c r="P21"/>
  <c r="H21"/>
  <c r="L21"/>
  <c r="A21"/>
  <c r="N21"/>
  <c r="M21"/>
  <c r="J21"/>
  <c r="K21"/>
  <c r="I21"/>
  <c r="F21"/>
  <c r="D21"/>
  <c r="C20"/>
  <c r="E20"/>
  <c r="O20"/>
  <c r="P20"/>
  <c r="H20"/>
  <c r="L20"/>
  <c r="A20"/>
  <c r="N20"/>
  <c r="M20"/>
  <c r="J20"/>
  <c r="K20"/>
  <c r="I20"/>
  <c r="F20"/>
  <c r="D20"/>
  <c r="C19"/>
  <c r="E19"/>
  <c r="O19"/>
  <c r="P19"/>
  <c r="H19"/>
  <c r="L19"/>
  <c r="A19"/>
  <c r="N19"/>
  <c r="M19"/>
  <c r="J19"/>
  <c r="K19"/>
  <c r="I19"/>
  <c r="F19"/>
  <c r="D19"/>
  <c r="C18"/>
  <c r="E18"/>
  <c r="O18"/>
  <c r="P18"/>
  <c r="H18"/>
  <c r="L18"/>
  <c r="A18"/>
  <c r="N18"/>
  <c r="M18"/>
  <c r="J18"/>
  <c r="K18"/>
  <c r="I18"/>
  <c r="F18"/>
  <c r="D18"/>
  <c r="C17"/>
  <c r="E17"/>
  <c r="O17"/>
  <c r="P17"/>
  <c r="H17"/>
  <c r="L17"/>
  <c r="A17"/>
  <c r="N17"/>
  <c r="M17"/>
  <c r="J17"/>
  <c r="K17"/>
  <c r="I17"/>
  <c r="F17"/>
  <c r="D17"/>
  <c r="C16"/>
  <c r="E16"/>
  <c r="O16"/>
  <c r="P16"/>
  <c r="H16"/>
  <c r="L16"/>
  <c r="A16"/>
  <c r="N16"/>
  <c r="M16"/>
  <c r="J16"/>
  <c r="K16"/>
  <c r="I16"/>
  <c r="F16"/>
  <c r="D16"/>
  <c r="C15"/>
  <c r="E15"/>
  <c r="O15"/>
  <c r="P15"/>
  <c r="H15"/>
  <c r="L15"/>
  <c r="A15"/>
  <c r="N15"/>
  <c r="M15"/>
  <c r="J15"/>
  <c r="K15"/>
  <c r="I15"/>
  <c r="F15"/>
  <c r="D15"/>
  <c r="C14"/>
  <c r="E14"/>
  <c r="O14"/>
  <c r="P14"/>
  <c r="H14"/>
  <c r="L14"/>
  <c r="A14"/>
  <c r="N14"/>
  <c r="M14"/>
  <c r="J14"/>
  <c r="K14"/>
  <c r="I14"/>
  <c r="F14"/>
  <c r="D14"/>
  <c r="C13"/>
  <c r="E13"/>
  <c r="O13"/>
  <c r="P13"/>
  <c r="H13"/>
  <c r="L13"/>
  <c r="A13"/>
  <c r="N13"/>
  <c r="M13"/>
  <c r="J13"/>
  <c r="K13"/>
  <c r="I13"/>
  <c r="F13"/>
  <c r="D13"/>
  <c r="C12"/>
  <c r="E12"/>
  <c r="O12"/>
  <c r="P12"/>
  <c r="H12"/>
  <c r="L12"/>
  <c r="A12"/>
  <c r="N12"/>
  <c r="M12"/>
  <c r="J12"/>
  <c r="K12"/>
  <c r="I12"/>
  <c r="F12"/>
  <c r="D12"/>
  <c r="C11"/>
  <c r="E11"/>
  <c r="O11"/>
  <c r="P11"/>
  <c r="H11"/>
  <c r="L11"/>
  <c r="A11"/>
  <c r="N11"/>
  <c r="M11"/>
  <c r="J11"/>
  <c r="K11"/>
  <c r="I11"/>
  <c r="F11"/>
  <c r="D11"/>
  <c r="C10"/>
  <c r="E10"/>
  <c r="O10"/>
  <c r="P10"/>
  <c r="H10"/>
  <c r="L10"/>
  <c r="A10"/>
  <c r="N10"/>
  <c r="M10"/>
  <c r="J10"/>
  <c r="K10"/>
  <c r="I10"/>
  <c r="F10"/>
  <c r="D10"/>
  <c r="C9"/>
  <c r="E9"/>
  <c r="O9"/>
  <c r="P9"/>
  <c r="H9"/>
  <c r="L9"/>
  <c r="A9"/>
  <c r="N9"/>
  <c r="M9"/>
  <c r="J9"/>
  <c r="K9"/>
  <c r="I9"/>
  <c r="F9"/>
  <c r="D9"/>
  <c r="C8"/>
  <c r="E8"/>
  <c r="O8"/>
  <c r="P8"/>
  <c r="H8"/>
  <c r="L8"/>
  <c r="A8"/>
  <c r="N8"/>
  <c r="M8"/>
  <c r="J8"/>
  <c r="K8"/>
  <c r="I8"/>
  <c r="F8"/>
  <c r="D8"/>
  <c r="C8" i="9"/>
  <c r="O8"/>
  <c r="P8"/>
  <c r="C9"/>
  <c r="O9"/>
  <c r="P9"/>
  <c r="C10"/>
  <c r="O10"/>
  <c r="P10"/>
  <c r="C11"/>
  <c r="O11"/>
  <c r="P11"/>
  <c r="C12"/>
  <c r="O12"/>
  <c r="P12"/>
  <c r="C13"/>
  <c r="O13"/>
  <c r="P13"/>
  <c r="C14"/>
  <c r="O14"/>
  <c r="P14"/>
  <c r="C15"/>
  <c r="O15"/>
  <c r="P15"/>
  <c r="C16"/>
  <c r="O16"/>
  <c r="P16"/>
  <c r="C17"/>
  <c r="O17"/>
  <c r="P17"/>
  <c r="C18"/>
  <c r="O18"/>
  <c r="P18"/>
  <c r="C19"/>
  <c r="O19"/>
  <c r="P19"/>
  <c r="C20"/>
  <c r="O20"/>
  <c r="P20"/>
  <c r="C21"/>
  <c r="O21"/>
  <c r="P21"/>
  <c r="C22"/>
  <c r="O22"/>
  <c r="P22"/>
  <c r="C23"/>
  <c r="O23"/>
  <c r="P23"/>
  <c r="C24"/>
  <c r="O24"/>
  <c r="P24"/>
  <c r="C25"/>
  <c r="O25"/>
  <c r="P25"/>
  <c r="H8"/>
  <c r="L8"/>
  <c r="N8"/>
  <c r="H9"/>
  <c r="L9"/>
  <c r="N9"/>
  <c r="H10"/>
  <c r="L10"/>
  <c r="N10"/>
  <c r="H11"/>
  <c r="L11"/>
  <c r="N11"/>
  <c r="H12"/>
  <c r="L12"/>
  <c r="N12"/>
  <c r="H13"/>
  <c r="L13"/>
  <c r="N13"/>
  <c r="H14"/>
  <c r="L14"/>
  <c r="N14"/>
  <c r="H15"/>
  <c r="L15"/>
  <c r="N15"/>
  <c r="H16"/>
  <c r="L16"/>
  <c r="N16"/>
  <c r="H17"/>
  <c r="L17"/>
  <c r="N17"/>
  <c r="H18"/>
  <c r="L18"/>
  <c r="N18"/>
  <c r="H19"/>
  <c r="L19"/>
  <c r="N19"/>
  <c r="H20"/>
  <c r="L20"/>
  <c r="N20"/>
  <c r="H21"/>
  <c r="L21"/>
  <c r="N21"/>
  <c r="H22"/>
  <c r="L22"/>
  <c r="N22"/>
  <c r="H23"/>
  <c r="L23"/>
  <c r="N23"/>
  <c r="H24"/>
  <c r="L24"/>
  <c r="N24"/>
  <c r="H25"/>
  <c r="L25"/>
  <c r="N25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J8"/>
  <c r="K8"/>
  <c r="J9"/>
  <c r="K9"/>
  <c r="J10"/>
  <c r="K10"/>
  <c r="J11"/>
  <c r="K11"/>
  <c r="J12"/>
  <c r="K12"/>
  <c r="J13"/>
  <c r="K13"/>
  <c r="J14"/>
  <c r="K14"/>
  <c r="J15"/>
  <c r="K15"/>
  <c r="J16"/>
  <c r="K16"/>
  <c r="J17"/>
  <c r="K17"/>
  <c r="J18"/>
  <c r="K18"/>
  <c r="J19"/>
  <c r="K19"/>
  <c r="J20"/>
  <c r="K20"/>
  <c r="J21"/>
  <c r="K21"/>
  <c r="J22"/>
  <c r="K22"/>
  <c r="J23"/>
  <c r="K23"/>
  <c r="J24"/>
  <c r="K24"/>
  <c r="J25"/>
  <c r="K25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C35"/>
  <c r="E35"/>
  <c r="O35"/>
  <c r="P35"/>
  <c r="H35"/>
  <c r="L35"/>
  <c r="A35"/>
  <c r="N35"/>
  <c r="M35"/>
  <c r="J35"/>
  <c r="K35"/>
  <c r="I35"/>
  <c r="F35"/>
  <c r="D35"/>
  <c r="C34"/>
  <c r="E34"/>
  <c r="O34"/>
  <c r="P34"/>
  <c r="H34"/>
  <c r="L34"/>
  <c r="A34"/>
  <c r="N34"/>
  <c r="M34"/>
  <c r="J34"/>
  <c r="K34"/>
  <c r="I34"/>
  <c r="F34"/>
  <c r="D34"/>
  <c r="C33"/>
  <c r="E33"/>
  <c r="O33"/>
  <c r="P33"/>
  <c r="H33"/>
  <c r="L33"/>
  <c r="A33"/>
  <c r="N33"/>
  <c r="M33"/>
  <c r="J33"/>
  <c r="K33"/>
  <c r="I33"/>
  <c r="F33"/>
  <c r="D33"/>
  <c r="C32"/>
  <c r="E32"/>
  <c r="O32"/>
  <c r="P32"/>
  <c r="H32"/>
  <c r="L32"/>
  <c r="A32"/>
  <c r="N32"/>
  <c r="M32"/>
  <c r="J32"/>
  <c r="K32"/>
  <c r="I32"/>
  <c r="F32"/>
  <c r="D32"/>
  <c r="C31"/>
  <c r="E31"/>
  <c r="O31"/>
  <c r="P31"/>
  <c r="H31"/>
  <c r="L31"/>
  <c r="A31"/>
  <c r="N31"/>
  <c r="M31"/>
  <c r="J31"/>
  <c r="K31"/>
  <c r="I31"/>
  <c r="F31"/>
  <c r="D31"/>
  <c r="C30"/>
  <c r="E30"/>
  <c r="O30"/>
  <c r="P30"/>
  <c r="H30"/>
  <c r="L30"/>
  <c r="A30"/>
  <c r="N30"/>
  <c r="M30"/>
  <c r="J30"/>
  <c r="K30"/>
  <c r="I30"/>
  <c r="F30"/>
  <c r="D30"/>
  <c r="C29"/>
  <c r="E29"/>
  <c r="O29"/>
  <c r="P29"/>
  <c r="H29"/>
  <c r="L29"/>
  <c r="A29"/>
  <c r="N29"/>
  <c r="M29"/>
  <c r="J29"/>
  <c r="K29"/>
  <c r="I29"/>
  <c r="F29"/>
  <c r="D29"/>
  <c r="C28"/>
  <c r="E28"/>
  <c r="O28"/>
  <c r="P28"/>
  <c r="H28"/>
  <c r="L28"/>
  <c r="A28"/>
  <c r="N28"/>
  <c r="M28"/>
  <c r="J28"/>
  <c r="K28"/>
  <c r="I28"/>
  <c r="F28"/>
  <c r="D28"/>
  <c r="C27"/>
  <c r="E27"/>
  <c r="O27"/>
  <c r="P27"/>
  <c r="H27"/>
  <c r="L27"/>
  <c r="A27"/>
  <c r="N27"/>
  <c r="M27"/>
  <c r="J27"/>
  <c r="K27"/>
  <c r="I27"/>
  <c r="F27"/>
  <c r="D27"/>
  <c r="C26"/>
  <c r="E26"/>
  <c r="O26"/>
  <c r="P26"/>
  <c r="H26"/>
  <c r="L26"/>
  <c r="A26"/>
  <c r="N26"/>
  <c r="M26"/>
  <c r="J26"/>
  <c r="K26"/>
  <c r="I26"/>
  <c r="F26"/>
  <c r="D26"/>
  <c r="P163" i="7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C15"/>
  <c r="O15"/>
  <c r="P15"/>
  <c r="C14"/>
  <c r="O14"/>
  <c r="P14"/>
  <c r="C13"/>
  <c r="O13"/>
  <c r="P13"/>
  <c r="C12"/>
  <c r="O12"/>
  <c r="P12"/>
  <c r="C11"/>
  <c r="O11"/>
  <c r="P11"/>
  <c r="C10"/>
  <c r="O10"/>
  <c r="P10"/>
  <c r="C9"/>
  <c r="O9"/>
  <c r="P9"/>
  <c r="C8"/>
  <c r="O8"/>
  <c r="P8"/>
  <c r="C7"/>
  <c r="O7"/>
  <c r="P7"/>
  <c r="C6"/>
  <c r="O6"/>
  <c r="P6"/>
  <c r="C6" i="6"/>
  <c r="O6"/>
  <c r="P6"/>
  <c r="C7"/>
  <c r="O7"/>
  <c r="P7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C15"/>
  <c r="O15"/>
  <c r="P15"/>
  <c r="C14"/>
  <c r="O14"/>
  <c r="P14"/>
  <c r="C13"/>
  <c r="O13"/>
  <c r="P13"/>
  <c r="C12"/>
  <c r="O12"/>
  <c r="P12"/>
  <c r="C11"/>
  <c r="O11"/>
  <c r="P11"/>
  <c r="C10"/>
  <c r="O10"/>
  <c r="P10"/>
  <c r="C9"/>
  <c r="O9"/>
  <c r="P9"/>
  <c r="C8"/>
  <c r="O8"/>
  <c r="P8"/>
  <c r="P163" i="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C6" i="2"/>
  <c r="O6"/>
  <c r="P6"/>
  <c r="C7"/>
  <c r="O7"/>
  <c r="P7"/>
  <c r="C8"/>
  <c r="O8"/>
  <c r="P8"/>
  <c r="C9"/>
  <c r="O9"/>
  <c r="P9"/>
  <c r="C10"/>
  <c r="O10"/>
  <c r="P10"/>
  <c r="C11"/>
  <c r="O11"/>
  <c r="P11"/>
  <c r="C12"/>
  <c r="O12"/>
  <c r="P12"/>
  <c r="C13"/>
  <c r="O13"/>
  <c r="P13"/>
  <c r="C14"/>
  <c r="O14"/>
  <c r="P14"/>
  <c r="C15"/>
  <c r="O15"/>
  <c r="P15"/>
  <c r="C16"/>
  <c r="O16"/>
  <c r="P16"/>
  <c r="C17"/>
  <c r="O17"/>
  <c r="P17"/>
  <c r="C18"/>
  <c r="O18"/>
  <c r="P18"/>
  <c r="C19"/>
  <c r="O19"/>
  <c r="P19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C144"/>
  <c r="O144"/>
  <c r="P144"/>
  <c r="C143"/>
  <c r="O143"/>
  <c r="P143"/>
  <c r="C142"/>
  <c r="O142"/>
  <c r="P142"/>
  <c r="C141"/>
  <c r="O141"/>
  <c r="P141"/>
  <c r="C140"/>
  <c r="O140"/>
  <c r="P140"/>
  <c r="C139"/>
  <c r="O139"/>
  <c r="P139"/>
  <c r="C138"/>
  <c r="O138"/>
  <c r="P138"/>
  <c r="C137"/>
  <c r="O137"/>
  <c r="P137"/>
  <c r="C136"/>
  <c r="O136"/>
  <c r="P136"/>
  <c r="C135"/>
  <c r="O135"/>
  <c r="P135"/>
  <c r="C134"/>
  <c r="O134"/>
  <c r="P134"/>
  <c r="C133"/>
  <c r="O133"/>
  <c r="P133"/>
  <c r="C132"/>
  <c r="O132"/>
  <c r="P132"/>
  <c r="C131"/>
  <c r="O131"/>
  <c r="P131"/>
  <c r="C130"/>
  <c r="O130"/>
  <c r="P130"/>
  <c r="C129"/>
  <c r="O129"/>
  <c r="P129"/>
  <c r="C128"/>
  <c r="O128"/>
  <c r="P128"/>
  <c r="C127"/>
  <c r="O127"/>
  <c r="P127"/>
  <c r="C126"/>
  <c r="O126"/>
  <c r="P126"/>
  <c r="C125"/>
  <c r="O125"/>
  <c r="P125"/>
  <c r="C124"/>
  <c r="O124"/>
  <c r="P124"/>
  <c r="C123"/>
  <c r="O123"/>
  <c r="P123"/>
  <c r="C122"/>
  <c r="O122"/>
  <c r="P122"/>
  <c r="C121"/>
  <c r="O121"/>
  <c r="P121"/>
  <c r="C120"/>
  <c r="O120"/>
  <c r="P120"/>
  <c r="C119"/>
  <c r="O119"/>
  <c r="P119"/>
  <c r="C118"/>
  <c r="O118"/>
  <c r="P118"/>
  <c r="C117"/>
  <c r="O117"/>
  <c r="P117"/>
  <c r="C116"/>
  <c r="O116"/>
  <c r="P116"/>
  <c r="C115"/>
  <c r="O115"/>
  <c r="P115"/>
  <c r="C114"/>
  <c r="O114"/>
  <c r="P114"/>
  <c r="C113"/>
  <c r="O113"/>
  <c r="P113"/>
  <c r="C112"/>
  <c r="O112"/>
  <c r="P112"/>
  <c r="C111"/>
  <c r="O111"/>
  <c r="P111"/>
  <c r="C110"/>
  <c r="O110"/>
  <c r="P110"/>
  <c r="C109"/>
  <c r="O109"/>
  <c r="P109"/>
  <c r="C108"/>
  <c r="O108"/>
  <c r="P108"/>
  <c r="C107"/>
  <c r="O107"/>
  <c r="P107"/>
  <c r="C106"/>
  <c r="O106"/>
  <c r="P106"/>
  <c r="C105"/>
  <c r="O105"/>
  <c r="P105"/>
  <c r="C104"/>
  <c r="O104"/>
  <c r="P104"/>
  <c r="C103"/>
  <c r="O103"/>
  <c r="P103"/>
  <c r="C102"/>
  <c r="O102"/>
  <c r="P102"/>
  <c r="C101"/>
  <c r="O101"/>
  <c r="P101"/>
  <c r="C100"/>
  <c r="O100"/>
  <c r="P100"/>
  <c r="C99"/>
  <c r="O99"/>
  <c r="P99"/>
  <c r="C98"/>
  <c r="O98"/>
  <c r="P98"/>
  <c r="C97"/>
  <c r="O97"/>
  <c r="P97"/>
  <c r="C96"/>
  <c r="O96"/>
  <c r="P96"/>
  <c r="C95"/>
  <c r="O95"/>
  <c r="P95"/>
  <c r="C94"/>
  <c r="O94"/>
  <c r="P94"/>
  <c r="C93"/>
  <c r="O93"/>
  <c r="P93"/>
  <c r="C92"/>
  <c r="O92"/>
  <c r="P92"/>
  <c r="C91"/>
  <c r="O91"/>
  <c r="P91"/>
  <c r="C90"/>
  <c r="O90"/>
  <c r="P90"/>
  <c r="C89"/>
  <c r="O89"/>
  <c r="P89"/>
  <c r="C88"/>
  <c r="O88"/>
  <c r="P88"/>
  <c r="C87"/>
  <c r="O87"/>
  <c r="P87"/>
  <c r="C86"/>
  <c r="O86"/>
  <c r="P86"/>
  <c r="C85"/>
  <c r="O85"/>
  <c r="P85"/>
  <c r="C84"/>
  <c r="O84"/>
  <c r="P84"/>
  <c r="C83"/>
  <c r="O83"/>
  <c r="P83"/>
  <c r="C82"/>
  <c r="O82"/>
  <c r="P82"/>
  <c r="C81"/>
  <c r="O81"/>
  <c r="P81"/>
  <c r="C80"/>
  <c r="O80"/>
  <c r="P80"/>
  <c r="C79"/>
  <c r="O79"/>
  <c r="P79"/>
  <c r="C78"/>
  <c r="O78"/>
  <c r="P78"/>
  <c r="C77"/>
  <c r="O77"/>
  <c r="P77"/>
  <c r="C76"/>
  <c r="O76"/>
  <c r="P76"/>
  <c r="C75"/>
  <c r="O75"/>
  <c r="P75"/>
  <c r="C74"/>
  <c r="O74"/>
  <c r="P74"/>
  <c r="C73"/>
  <c r="O73"/>
  <c r="P73"/>
  <c r="C72"/>
  <c r="O72"/>
  <c r="P72"/>
  <c r="C71"/>
  <c r="O71"/>
  <c r="P71"/>
  <c r="C70"/>
  <c r="O70"/>
  <c r="P70"/>
  <c r="C69"/>
  <c r="O69"/>
  <c r="P69"/>
  <c r="C68"/>
  <c r="O68"/>
  <c r="P68"/>
  <c r="C67"/>
  <c r="O67"/>
  <c r="P67"/>
  <c r="C66"/>
  <c r="O66"/>
  <c r="P66"/>
  <c r="C65"/>
  <c r="O65"/>
  <c r="P65"/>
  <c r="C64"/>
  <c r="O64"/>
  <c r="P64"/>
  <c r="C63"/>
  <c r="O63"/>
  <c r="P63"/>
  <c r="C62"/>
  <c r="O62"/>
  <c r="P62"/>
  <c r="C61"/>
  <c r="O61"/>
  <c r="P61"/>
  <c r="C60"/>
  <c r="O60"/>
  <c r="P60"/>
  <c r="C59"/>
  <c r="O59"/>
  <c r="P59"/>
  <c r="C58"/>
  <c r="O58"/>
  <c r="P58"/>
  <c r="C57"/>
  <c r="O57"/>
  <c r="P57"/>
  <c r="C56"/>
  <c r="O56"/>
  <c r="P56"/>
  <c r="C55"/>
  <c r="O55"/>
  <c r="P55"/>
  <c r="C54"/>
  <c r="O54"/>
  <c r="P54"/>
  <c r="C53"/>
  <c r="O53"/>
  <c r="P53"/>
  <c r="C52"/>
  <c r="O52"/>
  <c r="P52"/>
  <c r="C51"/>
  <c r="O51"/>
  <c r="P51"/>
  <c r="C50"/>
  <c r="O50"/>
  <c r="P50"/>
  <c r="C49"/>
  <c r="O49"/>
  <c r="P49"/>
  <c r="C48"/>
  <c r="O48"/>
  <c r="P48"/>
  <c r="C47"/>
  <c r="O47"/>
  <c r="P47"/>
  <c r="C46"/>
  <c r="O46"/>
  <c r="P46"/>
  <c r="C45"/>
  <c r="O45"/>
  <c r="P45"/>
  <c r="C44"/>
  <c r="O44"/>
  <c r="P44"/>
  <c r="C43"/>
  <c r="O43"/>
  <c r="P43"/>
  <c r="C42"/>
  <c r="O42"/>
  <c r="P42"/>
  <c r="C41"/>
  <c r="O41"/>
  <c r="P41"/>
  <c r="C40"/>
  <c r="O40"/>
  <c r="P40"/>
  <c r="C39"/>
  <c r="O39"/>
  <c r="P39"/>
  <c r="C38"/>
  <c r="O38"/>
  <c r="P38"/>
  <c r="C37"/>
  <c r="O37"/>
  <c r="P37"/>
  <c r="C36"/>
  <c r="O36"/>
  <c r="P36"/>
  <c r="C35"/>
  <c r="O35"/>
  <c r="P35"/>
  <c r="C34"/>
  <c r="O34"/>
  <c r="P34"/>
  <c r="C33"/>
  <c r="O33"/>
  <c r="P33"/>
  <c r="C32"/>
  <c r="O32"/>
  <c r="P32"/>
  <c r="C31"/>
  <c r="O31"/>
  <c r="P31"/>
  <c r="C30"/>
  <c r="O30"/>
  <c r="P30"/>
  <c r="C29"/>
  <c r="O29"/>
  <c r="P29"/>
  <c r="C28"/>
  <c r="O28"/>
  <c r="P28"/>
  <c r="C27"/>
  <c r="O27"/>
  <c r="P27"/>
  <c r="C26"/>
  <c r="O26"/>
  <c r="P26"/>
  <c r="C25"/>
  <c r="O25"/>
  <c r="P25"/>
  <c r="C24"/>
  <c r="O24"/>
  <c r="P24"/>
  <c r="C23"/>
  <c r="O23"/>
  <c r="P23"/>
  <c r="C22"/>
  <c r="O22"/>
  <c r="P22"/>
  <c r="C21"/>
  <c r="O21"/>
  <c r="P21"/>
  <c r="C20"/>
  <c r="O20"/>
  <c r="P20"/>
  <c r="C21" i="1"/>
  <c r="O21"/>
  <c r="P21"/>
  <c r="C22"/>
  <c r="O22"/>
  <c r="P22"/>
  <c r="C23"/>
  <c r="O23"/>
  <c r="P23"/>
  <c r="C24"/>
  <c r="O24"/>
  <c r="P24"/>
  <c r="C25"/>
  <c r="O25"/>
  <c r="P25"/>
  <c r="C26"/>
  <c r="O26"/>
  <c r="P26"/>
  <c r="C27"/>
  <c r="O27"/>
  <c r="P27"/>
  <c r="C28"/>
  <c r="O28"/>
  <c r="P28"/>
  <c r="C29"/>
  <c r="O29"/>
  <c r="P29"/>
  <c r="C30"/>
  <c r="O30"/>
  <c r="P30"/>
  <c r="C31"/>
  <c r="O31"/>
  <c r="P31"/>
  <c r="C32"/>
  <c r="O32"/>
  <c r="P32"/>
  <c r="C33"/>
  <c r="O33"/>
  <c r="P33"/>
  <c r="C34"/>
  <c r="O34"/>
  <c r="P34"/>
  <c r="C35"/>
  <c r="O35"/>
  <c r="P35"/>
  <c r="C36"/>
  <c r="O36"/>
  <c r="P36"/>
  <c r="C37"/>
  <c r="O37"/>
  <c r="P37"/>
  <c r="C38"/>
  <c r="O38"/>
  <c r="P38"/>
  <c r="C39"/>
  <c r="O39"/>
  <c r="P39"/>
  <c r="C40"/>
  <c r="O40"/>
  <c r="P40"/>
  <c r="C41"/>
  <c r="O41"/>
  <c r="P41"/>
  <c r="C42"/>
  <c r="O42"/>
  <c r="P42"/>
  <c r="C43"/>
  <c r="O43"/>
  <c r="P43"/>
  <c r="C44"/>
  <c r="O44"/>
  <c r="P44"/>
  <c r="C45"/>
  <c r="O45"/>
  <c r="P45"/>
  <c r="C46"/>
  <c r="O46"/>
  <c r="P46"/>
  <c r="C47"/>
  <c r="O47"/>
  <c r="P47"/>
  <c r="C48"/>
  <c r="O48"/>
  <c r="P48"/>
  <c r="C49"/>
  <c r="O49"/>
  <c r="P49"/>
  <c r="C50"/>
  <c r="O50"/>
  <c r="P50"/>
  <c r="C51"/>
  <c r="O51"/>
  <c r="P51"/>
  <c r="C52"/>
  <c r="O52"/>
  <c r="P52"/>
  <c r="C53"/>
  <c r="O53"/>
  <c r="P53"/>
  <c r="C54"/>
  <c r="O54"/>
  <c r="P54"/>
  <c r="C55"/>
  <c r="O55"/>
  <c r="P55"/>
  <c r="C56"/>
  <c r="O56"/>
  <c r="P56"/>
  <c r="C57"/>
  <c r="O57"/>
  <c r="P57"/>
  <c r="C58"/>
  <c r="O58"/>
  <c r="P58"/>
  <c r="C59"/>
  <c r="O59"/>
  <c r="P59"/>
  <c r="C60"/>
  <c r="O60"/>
  <c r="P60"/>
  <c r="C61"/>
  <c r="O61"/>
  <c r="P61"/>
  <c r="C62"/>
  <c r="O62"/>
  <c r="P62"/>
  <c r="C63"/>
  <c r="O63"/>
  <c r="P63"/>
  <c r="C64"/>
  <c r="O64"/>
  <c r="P64"/>
  <c r="C65"/>
  <c r="O65"/>
  <c r="P65"/>
  <c r="C66"/>
  <c r="O66"/>
  <c r="P66"/>
  <c r="C67"/>
  <c r="O67"/>
  <c r="P67"/>
  <c r="C68"/>
  <c r="O68"/>
  <c r="P68"/>
  <c r="C69"/>
  <c r="O69"/>
  <c r="P69"/>
  <c r="C70"/>
  <c r="O70"/>
  <c r="P70"/>
  <c r="C71"/>
  <c r="O71"/>
  <c r="P71"/>
  <c r="C72"/>
  <c r="O72"/>
  <c r="P72"/>
  <c r="C73"/>
  <c r="O73"/>
  <c r="P73"/>
  <c r="C74"/>
  <c r="O74"/>
  <c r="P74"/>
  <c r="C75"/>
  <c r="O75"/>
  <c r="P75"/>
  <c r="C76"/>
  <c r="O76"/>
  <c r="P76"/>
  <c r="C77"/>
  <c r="O77"/>
  <c r="P77"/>
  <c r="C78"/>
  <c r="O78"/>
  <c r="P78"/>
  <c r="C79"/>
  <c r="O79"/>
  <c r="P79"/>
  <c r="C80"/>
  <c r="O80"/>
  <c r="P80"/>
  <c r="C81"/>
  <c r="O81"/>
  <c r="P81"/>
  <c r="C82"/>
  <c r="O82"/>
  <c r="P82"/>
  <c r="C83"/>
  <c r="O83"/>
  <c r="P83"/>
  <c r="C84"/>
  <c r="O84"/>
  <c r="P84"/>
  <c r="C85"/>
  <c r="O85"/>
  <c r="P85"/>
  <c r="C86"/>
  <c r="O86"/>
  <c r="P86"/>
  <c r="C87"/>
  <c r="O87"/>
  <c r="P87"/>
  <c r="C88"/>
  <c r="O88"/>
  <c r="P88"/>
  <c r="C89"/>
  <c r="O89"/>
  <c r="P89"/>
  <c r="C90"/>
  <c r="O90"/>
  <c r="P90"/>
  <c r="C91"/>
  <c r="O91"/>
  <c r="P91"/>
  <c r="C92"/>
  <c r="O92"/>
  <c r="P92"/>
  <c r="C93"/>
  <c r="O93"/>
  <c r="P93"/>
  <c r="C94"/>
  <c r="O94"/>
  <c r="P94"/>
  <c r="C95"/>
  <c r="O95"/>
  <c r="P95"/>
  <c r="C96"/>
  <c r="O96"/>
  <c r="P96"/>
  <c r="C97"/>
  <c r="O97"/>
  <c r="P97"/>
  <c r="C98"/>
  <c r="O98"/>
  <c r="P98"/>
  <c r="C99"/>
  <c r="O99"/>
  <c r="P99"/>
  <c r="C100"/>
  <c r="O100"/>
  <c r="P100"/>
  <c r="C101"/>
  <c r="O101"/>
  <c r="P101"/>
  <c r="C102"/>
  <c r="O102"/>
  <c r="P102"/>
  <c r="C103"/>
  <c r="O103"/>
  <c r="P103"/>
  <c r="C104"/>
  <c r="O104"/>
  <c r="P104"/>
  <c r="C105"/>
  <c r="O105"/>
  <c r="P105"/>
  <c r="C106"/>
  <c r="O106"/>
  <c r="P106"/>
  <c r="C107"/>
  <c r="O107"/>
  <c r="P107"/>
  <c r="C108"/>
  <c r="O108"/>
  <c r="P108"/>
  <c r="C109"/>
  <c r="O109"/>
  <c r="P109"/>
  <c r="C110"/>
  <c r="O110"/>
  <c r="P110"/>
  <c r="C111"/>
  <c r="O111"/>
  <c r="P111"/>
  <c r="C112"/>
  <c r="O112"/>
  <c r="P112"/>
  <c r="C113"/>
  <c r="O113"/>
  <c r="P113"/>
  <c r="C114"/>
  <c r="O114"/>
  <c r="P114"/>
  <c r="C115"/>
  <c r="O115"/>
  <c r="P115"/>
  <c r="C116"/>
  <c r="O116"/>
  <c r="P116"/>
  <c r="C117"/>
  <c r="O117"/>
  <c r="P117"/>
  <c r="C118"/>
  <c r="O118"/>
  <c r="P118"/>
  <c r="C119"/>
  <c r="O119"/>
  <c r="P119"/>
  <c r="C120"/>
  <c r="O120"/>
  <c r="P120"/>
  <c r="C121"/>
  <c r="O121"/>
  <c r="P121"/>
  <c r="C122"/>
  <c r="O122"/>
  <c r="P122"/>
  <c r="C123"/>
  <c r="O123"/>
  <c r="P123"/>
  <c r="C124"/>
  <c r="O124"/>
  <c r="P124"/>
  <c r="C125"/>
  <c r="O125"/>
  <c r="P125"/>
  <c r="C126"/>
  <c r="O126"/>
  <c r="P126"/>
  <c r="C127"/>
  <c r="O127"/>
  <c r="P127"/>
  <c r="C128"/>
  <c r="O128"/>
  <c r="P128"/>
  <c r="C129"/>
  <c r="O129"/>
  <c r="P129"/>
  <c r="C130"/>
  <c r="O130"/>
  <c r="P130"/>
  <c r="C131"/>
  <c r="O131"/>
  <c r="P131"/>
  <c r="C132"/>
  <c r="O132"/>
  <c r="P132"/>
  <c r="C133"/>
  <c r="O133"/>
  <c r="P133"/>
  <c r="C134"/>
  <c r="O134"/>
  <c r="P134"/>
  <c r="C135"/>
  <c r="O135"/>
  <c r="P135"/>
  <c r="C136"/>
  <c r="O136"/>
  <c r="P136"/>
  <c r="C137"/>
  <c r="O137"/>
  <c r="P137"/>
  <c r="C138"/>
  <c r="O138"/>
  <c r="P138"/>
  <c r="C139"/>
  <c r="O139"/>
  <c r="P139"/>
  <c r="C140"/>
  <c r="O140"/>
  <c r="P140"/>
  <c r="C141"/>
  <c r="O141"/>
  <c r="P141"/>
  <c r="C142"/>
  <c r="O142"/>
  <c r="P142"/>
  <c r="C143"/>
  <c r="O143"/>
  <c r="P143"/>
  <c r="C144"/>
  <c r="O144"/>
  <c r="P144"/>
  <c r="C145"/>
  <c r="O145"/>
  <c r="P145"/>
  <c r="C146"/>
  <c r="O146"/>
  <c r="P146"/>
  <c r="C147"/>
  <c r="O147"/>
  <c r="P147"/>
  <c r="C148"/>
  <c r="O148"/>
  <c r="P148"/>
  <c r="C149"/>
  <c r="O149"/>
  <c r="P149"/>
  <c r="C150"/>
  <c r="O150"/>
  <c r="P150"/>
  <c r="C151"/>
  <c r="O151"/>
  <c r="P151"/>
  <c r="C152"/>
  <c r="O152"/>
  <c r="P152"/>
  <c r="C153"/>
  <c r="O153"/>
  <c r="P153"/>
  <c r="C154"/>
  <c r="O154"/>
  <c r="P154"/>
  <c r="C155"/>
  <c r="O155"/>
  <c r="P155"/>
  <c r="C156"/>
  <c r="O156"/>
  <c r="P156"/>
  <c r="C157"/>
  <c r="O157"/>
  <c r="P157"/>
  <c r="C158"/>
  <c r="O158"/>
  <c r="P158"/>
  <c r="C159"/>
  <c r="O159"/>
  <c r="P159"/>
  <c r="C160"/>
  <c r="O160"/>
  <c r="P160"/>
  <c r="C161"/>
  <c r="O161"/>
  <c r="P161"/>
  <c r="C162"/>
  <c r="O162"/>
  <c r="P162"/>
  <c r="C163"/>
  <c r="O163"/>
  <c r="P163"/>
  <c r="C20"/>
  <c r="O20"/>
  <c r="P20"/>
  <c r="E9" i="3"/>
  <c r="E10"/>
  <c r="E11"/>
  <c r="E12"/>
  <c r="E13"/>
  <c r="E14"/>
  <c r="E15"/>
  <c r="E16"/>
  <c r="E17"/>
  <c r="E8"/>
  <c r="E7" i="7"/>
  <c r="E8"/>
  <c r="E9"/>
  <c r="E10"/>
  <c r="E11"/>
  <c r="E12"/>
  <c r="E13"/>
  <c r="E14"/>
  <c r="E15"/>
  <c r="E6"/>
  <c r="E7" i="6"/>
  <c r="E8"/>
  <c r="E9"/>
  <c r="E10"/>
  <c r="E11"/>
  <c r="E12"/>
  <c r="E13"/>
  <c r="E14"/>
  <c r="E15"/>
  <c r="E6"/>
  <c r="A15" i="7"/>
  <c r="A14"/>
  <c r="A13"/>
  <c r="A12"/>
  <c r="A11"/>
  <c r="A10"/>
  <c r="A9"/>
  <c r="A8"/>
  <c r="A7"/>
  <c r="A6"/>
  <c r="A15" i="6"/>
  <c r="A14"/>
  <c r="A13"/>
  <c r="A12"/>
  <c r="A11"/>
  <c r="A10"/>
  <c r="A9"/>
  <c r="A8"/>
  <c r="A7"/>
  <c r="A6"/>
  <c r="A7" i="5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6"/>
  <c r="A9" i="3"/>
  <c r="A10"/>
  <c r="A11"/>
  <c r="A12"/>
  <c r="A13"/>
  <c r="A14"/>
  <c r="A15"/>
  <c r="A16"/>
  <c r="A17"/>
  <c r="A8"/>
  <c r="A7" i="2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6"/>
  <c r="A21" i="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20"/>
  <c r="C436" i="5"/>
  <c r="C878"/>
  <c r="C876"/>
  <c r="C118"/>
  <c r="C486"/>
  <c r="C483"/>
  <c r="C1268"/>
  <c r="C166"/>
  <c r="C534"/>
  <c r="C531"/>
  <c r="C122"/>
  <c r="C538"/>
  <c r="C251"/>
  <c r="C654"/>
  <c r="C652"/>
  <c r="C127"/>
  <c r="C334"/>
  <c r="C320"/>
  <c r="C1238"/>
  <c r="C175"/>
  <c r="C423"/>
  <c r="C418"/>
  <c r="C1308"/>
  <c r="C250"/>
  <c r="C822"/>
  <c r="C820"/>
  <c r="C839"/>
  <c r="C1182"/>
  <c r="C219"/>
  <c r="C622"/>
  <c r="C620"/>
  <c r="C63"/>
  <c r="C545"/>
  <c r="C540"/>
  <c r="C1174"/>
  <c r="C111"/>
  <c r="C288"/>
  <c r="C588"/>
  <c r="C1222"/>
  <c r="C387"/>
  <c r="C790"/>
  <c r="C788"/>
  <c r="C597"/>
  <c r="C187"/>
  <c r="C566"/>
  <c r="C563"/>
  <c r="C481"/>
  <c r="C476"/>
  <c r="C1110"/>
  <c r="C47"/>
  <c r="C529"/>
  <c r="C524"/>
  <c r="C1158"/>
  <c r="C355"/>
  <c r="C37"/>
  <c r="C455"/>
  <c r="C450"/>
  <c r="C472"/>
  <c r="C273"/>
  <c r="C271"/>
  <c r="C1167"/>
  <c r="C520"/>
  <c r="C297"/>
  <c r="C295"/>
  <c r="C1215"/>
  <c r="C120"/>
  <c r="C446"/>
  <c r="C377"/>
  <c r="C375"/>
  <c r="C294"/>
  <c r="C194"/>
  <c r="C192"/>
  <c r="C657"/>
  <c r="C409"/>
  <c r="C218"/>
  <c r="C216"/>
  <c r="C843"/>
  <c r="C449"/>
  <c r="C444"/>
  <c r="C1594"/>
  <c r="C691"/>
  <c r="C354"/>
  <c r="C345"/>
  <c r="C343"/>
  <c r="C276"/>
  <c r="C146"/>
  <c r="C141"/>
  <c r="C659"/>
  <c r="C372"/>
  <c r="C186"/>
  <c r="C184"/>
  <c r="C600"/>
  <c r="C666"/>
  <c r="C358"/>
  <c r="C344"/>
  <c r="C1482"/>
  <c r="C552"/>
  <c r="C313"/>
  <c r="C311"/>
  <c r="C176"/>
  <c r="C82"/>
  <c r="C77"/>
  <c r="C1010"/>
  <c r="C286"/>
  <c r="C130"/>
  <c r="C43"/>
  <c r="C485"/>
  <c r="C641"/>
  <c r="C633"/>
  <c r="C171"/>
  <c r="C806"/>
  <c r="C804"/>
  <c r="C1330"/>
  <c r="C248"/>
  <c r="C830"/>
  <c r="C828"/>
  <c r="C197"/>
  <c r="C587"/>
  <c r="C326"/>
  <c r="C846"/>
  <c r="C844"/>
  <c r="C54"/>
  <c r="C422"/>
  <c r="C419"/>
  <c r="C1745"/>
  <c r="C102"/>
  <c r="C470"/>
  <c r="C467"/>
  <c r="C58"/>
  <c r="C474"/>
  <c r="C1014"/>
  <c r="C1012"/>
  <c r="C1226"/>
  <c r="C1714"/>
  <c r="C300"/>
  <c r="C733"/>
  <c r="C725"/>
  <c r="C152"/>
  <c r="C290"/>
  <c r="C589"/>
  <c r="C1706"/>
  <c r="C38"/>
  <c r="C406"/>
  <c r="C403"/>
  <c r="C164"/>
  <c r="C410"/>
  <c r="C982"/>
  <c r="C980"/>
  <c r="C1162"/>
  <c r="C230"/>
  <c r="C605"/>
  <c r="C602"/>
  <c r="C88"/>
  <c r="C528"/>
  <c r="C525"/>
  <c r="C1642"/>
  <c r="C136"/>
  <c r="C576"/>
  <c r="C573"/>
  <c r="C100"/>
  <c r="C580"/>
  <c r="C950"/>
  <c r="C608"/>
  <c r="C1239"/>
  <c r="C1131"/>
  <c r="C1954"/>
  <c r="C992"/>
  <c r="C1157"/>
  <c r="C1115"/>
  <c r="C42"/>
  <c r="C458"/>
  <c r="C1006"/>
  <c r="C1004"/>
  <c r="C275"/>
  <c r="C678"/>
  <c r="C676"/>
  <c r="C1525"/>
  <c r="C299"/>
  <c r="C702"/>
  <c r="C700"/>
  <c r="C123"/>
  <c r="C565"/>
  <c r="C379"/>
  <c r="C782"/>
  <c r="C780"/>
  <c r="C196"/>
  <c r="C392"/>
  <c r="C378"/>
  <c r="C1514"/>
  <c r="C8"/>
  <c r="C448"/>
  <c r="C445"/>
  <c r="C452"/>
  <c r="C886"/>
  <c r="C884"/>
  <c r="C1209"/>
  <c r="C1458"/>
  <c r="C347"/>
  <c r="C750"/>
  <c r="C748"/>
  <c r="C149"/>
  <c r="C567"/>
  <c r="C562"/>
  <c r="C1450"/>
  <c r="C188"/>
  <c r="C346"/>
  <c r="C342"/>
  <c r="C1498"/>
  <c r="C362"/>
  <c r="C854"/>
  <c r="C852"/>
  <c r="C1145"/>
  <c r="C315"/>
  <c r="C718"/>
  <c r="C40"/>
  <c r="C480"/>
  <c r="C477"/>
  <c r="C494"/>
  <c r="C401"/>
  <c r="C399"/>
  <c r="C1037"/>
  <c r="C542"/>
  <c r="C274"/>
  <c r="C266"/>
  <c r="C1085"/>
  <c r="C195"/>
  <c r="C658"/>
  <c r="C312"/>
  <c r="C298"/>
  <c r="C352"/>
  <c r="C49"/>
  <c r="C46"/>
  <c r="C1084"/>
  <c r="C431"/>
  <c r="C97"/>
  <c r="C94"/>
  <c r="C1132"/>
  <c r="C53"/>
  <c r="C471"/>
  <c r="C466"/>
  <c r="C1365"/>
  <c r="C1003"/>
  <c r="C626"/>
  <c r="C292"/>
  <c r="C284"/>
  <c r="C553"/>
  <c r="C147"/>
  <c r="C144"/>
  <c r="C987"/>
  <c r="C306"/>
  <c r="C33"/>
  <c r="C30"/>
  <c r="C1065"/>
  <c r="C159"/>
  <c r="C407"/>
  <c r="C402"/>
  <c r="C1285"/>
  <c r="C574"/>
  <c r="C226"/>
  <c r="C222"/>
  <c r="C489"/>
  <c r="C83"/>
  <c r="C80"/>
  <c r="C855"/>
  <c r="C537"/>
  <c r="C131"/>
  <c r="C128"/>
  <c r="C955"/>
  <c r="C95"/>
  <c r="C463"/>
  <c r="C129"/>
  <c r="C126"/>
  <c r="C277"/>
  <c r="C754"/>
  <c r="C301"/>
  <c r="C802"/>
  <c r="C568"/>
  <c r="C381"/>
  <c r="C140"/>
  <c r="C135"/>
  <c r="C198"/>
  <c r="C405"/>
  <c r="C739"/>
  <c r="C731"/>
  <c r="C11"/>
  <c r="C453"/>
  <c r="C835"/>
  <c r="C827"/>
  <c r="C457"/>
  <c r="C51"/>
  <c r="C48"/>
  <c r="C719"/>
  <c r="C1329"/>
  <c r="C349"/>
  <c r="C76"/>
  <c r="C71"/>
  <c r="C154"/>
  <c r="C570"/>
  <c r="C613"/>
  <c r="C610"/>
  <c r="C190"/>
  <c r="C360"/>
  <c r="C707"/>
  <c r="C699"/>
  <c r="C376"/>
  <c r="C210"/>
  <c r="C208"/>
  <c r="C785"/>
  <c r="C317"/>
  <c r="C12"/>
  <c r="C7"/>
  <c r="C90"/>
  <c r="C506"/>
  <c r="C1030"/>
  <c r="C1028"/>
  <c r="C138"/>
  <c r="C554"/>
  <c r="C592"/>
  <c r="C283"/>
  <c r="C686"/>
  <c r="C684"/>
  <c r="C21"/>
  <c r="C439"/>
  <c r="C434"/>
  <c r="C1324"/>
  <c r="C69"/>
  <c r="C487"/>
  <c r="C482"/>
  <c r="C1370"/>
  <c r="C246"/>
  <c r="C204"/>
  <c r="C416"/>
  <c r="C413"/>
  <c r="C430"/>
  <c r="C369"/>
  <c r="C367"/>
  <c r="C973"/>
  <c r="C478"/>
  <c r="C393"/>
  <c r="C391"/>
  <c r="C1021"/>
  <c r="C150"/>
  <c r="C518"/>
  <c r="C515"/>
  <c r="C816"/>
  <c r="C917"/>
  <c r="C165"/>
  <c r="C583"/>
  <c r="C578"/>
  <c r="C318"/>
  <c r="C337"/>
  <c r="C335"/>
  <c r="C909"/>
  <c r="C414"/>
  <c r="C361"/>
  <c r="C359"/>
  <c r="C957"/>
  <c r="C86"/>
  <c r="C454"/>
  <c r="C451"/>
  <c r="C736"/>
  <c r="C101"/>
  <c r="C519"/>
  <c r="C514"/>
  <c r="C536"/>
  <c r="C305"/>
  <c r="C303"/>
  <c r="C1231"/>
  <c r="C584"/>
  <c r="C329"/>
  <c r="C327"/>
  <c r="C893"/>
  <c r="C22"/>
  <c r="C382"/>
  <c r="C572"/>
  <c r="C1712"/>
  <c r="C903"/>
  <c r="C1872"/>
  <c r="C1562"/>
  <c r="C627"/>
  <c r="C871"/>
  <c r="C1856"/>
  <c r="C134"/>
  <c r="C502"/>
  <c r="C499"/>
  <c r="C417"/>
  <c r="C412"/>
  <c r="C1269"/>
  <c r="C465"/>
  <c r="C460"/>
  <c r="C1094"/>
  <c r="C323"/>
  <c r="C143"/>
  <c r="C370"/>
  <c r="C366"/>
  <c r="C408"/>
  <c r="C241"/>
  <c r="C239"/>
  <c r="C1103"/>
  <c r="C456"/>
  <c r="C265"/>
  <c r="C263"/>
  <c r="C1151"/>
  <c r="C56"/>
  <c r="C488"/>
  <c r="C281"/>
  <c r="C279"/>
  <c r="C220"/>
  <c r="C18"/>
  <c r="C13"/>
  <c r="C946"/>
  <c r="C256"/>
  <c r="C66"/>
  <c r="C61"/>
  <c r="C994"/>
  <c r="C590"/>
  <c r="C330"/>
  <c r="C202"/>
  <c r="C200"/>
  <c r="C57"/>
  <c r="C427"/>
  <c r="C671"/>
  <c r="C663"/>
  <c r="C105"/>
  <c r="C475"/>
  <c r="C767"/>
  <c r="C759"/>
  <c r="C479"/>
  <c r="C145"/>
  <c r="C142"/>
  <c r="C721"/>
  <c r="C1584"/>
  <c r="C308"/>
  <c r="C162"/>
  <c r="C157"/>
  <c r="C155"/>
  <c r="C304"/>
  <c r="C847"/>
  <c r="C845"/>
  <c r="C41"/>
  <c r="C411"/>
  <c r="C639"/>
  <c r="C631"/>
  <c r="C415"/>
  <c r="C81"/>
  <c r="C78"/>
  <c r="C898"/>
  <c r="C234"/>
  <c r="C98"/>
  <c r="C93"/>
  <c r="C91"/>
  <c r="C533"/>
  <c r="C737"/>
  <c r="C729"/>
  <c r="C139"/>
  <c r="C581"/>
  <c r="C833"/>
  <c r="C825"/>
  <c r="C585"/>
  <c r="C137"/>
  <c r="C507"/>
  <c r="C831"/>
  <c r="C420"/>
  <c r="C870"/>
  <c r="C868"/>
  <c r="C468"/>
  <c r="C894"/>
  <c r="C892"/>
  <c r="C325"/>
  <c r="C148"/>
  <c r="C384"/>
  <c r="C974"/>
  <c r="C972"/>
  <c r="C243"/>
  <c r="C646"/>
  <c r="C644"/>
  <c r="C1461"/>
  <c r="C267"/>
  <c r="C670"/>
  <c r="C668"/>
  <c r="C59"/>
  <c r="C501"/>
  <c r="C673"/>
  <c r="C665"/>
  <c r="C1096"/>
  <c r="C84"/>
  <c r="C564"/>
  <c r="C942"/>
  <c r="C940"/>
  <c r="C211"/>
  <c r="C614"/>
  <c r="C611"/>
  <c r="C1397"/>
  <c r="C235"/>
  <c r="C638"/>
  <c r="C636"/>
  <c r="C214"/>
  <c r="C437"/>
  <c r="C803"/>
  <c r="C795"/>
  <c r="C20"/>
  <c r="C500"/>
  <c r="C910"/>
  <c r="C908"/>
  <c r="C179"/>
  <c r="C550"/>
  <c r="C547"/>
  <c r="C1333"/>
  <c r="C203"/>
  <c r="C598"/>
  <c r="C433"/>
  <c r="C428"/>
  <c r="C447"/>
  <c r="C113"/>
  <c r="C110"/>
  <c r="C1148"/>
  <c r="C495"/>
  <c r="C161"/>
  <c r="C158"/>
  <c r="C1196"/>
  <c r="C117"/>
  <c r="C424"/>
  <c r="C249"/>
  <c r="C247"/>
  <c r="C373"/>
  <c r="C124"/>
  <c r="C119"/>
  <c r="C882"/>
  <c r="C397"/>
  <c r="C172"/>
  <c r="C167"/>
  <c r="C930"/>
  <c r="C526"/>
  <c r="C244"/>
  <c r="C240"/>
  <c r="C1078"/>
  <c r="C781"/>
  <c r="C282"/>
  <c r="C217"/>
  <c r="C215"/>
  <c r="C341"/>
  <c r="C60"/>
  <c r="C55"/>
  <c r="C749"/>
  <c r="C365"/>
  <c r="C108"/>
  <c r="C103"/>
  <c r="C866"/>
  <c r="C462"/>
  <c r="C385"/>
  <c r="C383"/>
  <c r="C1197"/>
  <c r="C527"/>
  <c r="C185"/>
  <c r="C183"/>
  <c r="C309"/>
  <c r="C818"/>
  <c r="C333"/>
  <c r="C44"/>
  <c r="C39"/>
  <c r="C685"/>
  <c r="C400"/>
  <c r="C353"/>
  <c r="C637"/>
  <c r="C1160"/>
  <c r="C1396"/>
  <c r="C1601"/>
  <c r="C1964"/>
  <c r="C1313"/>
  <c r="C1380"/>
  <c r="C1585"/>
  <c r="C510"/>
  <c r="C228"/>
  <c r="C224"/>
  <c r="C425"/>
  <c r="C19"/>
  <c r="C16"/>
  <c r="C601"/>
  <c r="C473"/>
  <c r="C67"/>
  <c r="C64"/>
  <c r="C783"/>
  <c r="C31"/>
  <c r="C398"/>
  <c r="C65"/>
  <c r="C62"/>
  <c r="C245"/>
  <c r="C648"/>
  <c r="C1027"/>
  <c r="C690"/>
  <c r="C269"/>
  <c r="C672"/>
  <c r="C1076"/>
  <c r="C738"/>
  <c r="C504"/>
  <c r="C289"/>
  <c r="C287"/>
  <c r="C1199"/>
  <c r="C1390"/>
  <c r="C569"/>
  <c r="C163"/>
  <c r="C160"/>
  <c r="C213"/>
  <c r="C616"/>
  <c r="C963"/>
  <c r="C959"/>
  <c r="C237"/>
  <c r="C640"/>
  <c r="C1011"/>
  <c r="C1007"/>
  <c r="C285"/>
  <c r="C26"/>
  <c r="C442"/>
  <c r="C998"/>
  <c r="C996"/>
  <c r="C74"/>
  <c r="C490"/>
  <c r="C1022"/>
  <c r="C1020"/>
  <c r="C254"/>
  <c r="C206"/>
  <c r="C421"/>
  <c r="C771"/>
  <c r="C763"/>
  <c r="C371"/>
  <c r="C774"/>
  <c r="C772"/>
  <c r="C1717"/>
  <c r="C395"/>
  <c r="C798"/>
  <c r="C796"/>
  <c r="C153"/>
  <c r="C523"/>
  <c r="C867"/>
  <c r="C863"/>
  <c r="C1107"/>
  <c r="C170"/>
  <c r="C586"/>
  <c r="C643"/>
  <c r="C635"/>
  <c r="C339"/>
  <c r="C742"/>
  <c r="C740"/>
  <c r="C1653"/>
  <c r="C363"/>
  <c r="C766"/>
  <c r="C764"/>
  <c r="C89"/>
  <c r="C459"/>
  <c r="C735"/>
  <c r="C727"/>
  <c r="C106"/>
  <c r="C522"/>
  <c r="C1038"/>
  <c r="C1036"/>
  <c r="C307"/>
  <c r="C710"/>
  <c r="C708"/>
  <c r="C1589"/>
  <c r="C331"/>
  <c r="C734"/>
  <c r="C732"/>
  <c r="C25"/>
  <c r="C386"/>
  <c r="C232"/>
  <c r="C814"/>
  <c r="C812"/>
  <c r="C24"/>
  <c r="C464"/>
  <c r="C461"/>
  <c r="C1578"/>
  <c r="C72"/>
  <c r="C512"/>
  <c r="C509"/>
  <c r="C36"/>
  <c r="C516"/>
  <c r="C70"/>
  <c r="C438"/>
  <c r="C435"/>
  <c r="C650"/>
  <c r="C388"/>
  <c r="C380"/>
  <c r="C1229"/>
  <c r="C674"/>
  <c r="C394"/>
  <c r="C390"/>
  <c r="C1261"/>
  <c r="C291"/>
  <c r="C694"/>
  <c r="C692"/>
  <c r="C1008"/>
  <c r="C1173"/>
  <c r="C168"/>
  <c r="C336"/>
  <c r="C322"/>
  <c r="C618"/>
  <c r="C260"/>
  <c r="C252"/>
  <c r="C1165"/>
  <c r="C642"/>
  <c r="C356"/>
  <c r="C348"/>
  <c r="C1213"/>
  <c r="C259"/>
  <c r="C662"/>
  <c r="C660"/>
  <c r="C944"/>
  <c r="C104"/>
  <c r="C544"/>
  <c r="C541"/>
  <c r="C558"/>
  <c r="C272"/>
  <c r="C264"/>
  <c r="C1101"/>
  <c r="C606"/>
  <c r="C270"/>
  <c r="C441"/>
  <c r="C35"/>
  <c r="C32"/>
  <c r="C121"/>
  <c r="C491"/>
  <c r="C799"/>
  <c r="C791"/>
  <c r="C169"/>
  <c r="C539"/>
  <c r="C883"/>
  <c r="C879"/>
  <c r="C543"/>
  <c r="C253"/>
  <c r="C656"/>
  <c r="C1043"/>
  <c r="C132"/>
  <c r="C338"/>
  <c r="C966"/>
  <c r="C964"/>
  <c r="C10"/>
  <c r="C426"/>
  <c r="C990"/>
  <c r="C988"/>
  <c r="C258"/>
  <c r="C50"/>
  <c r="C45"/>
  <c r="C978"/>
  <c r="C1639"/>
  <c r="C221"/>
  <c r="C624"/>
  <c r="C979"/>
  <c r="C68"/>
  <c r="C548"/>
  <c r="C934"/>
  <c r="C932"/>
  <c r="C116"/>
  <c r="C302"/>
  <c r="C958"/>
  <c r="C956"/>
  <c r="C389"/>
  <c r="C156"/>
  <c r="C151"/>
  <c r="C914"/>
  <c r="C189"/>
  <c r="C571"/>
  <c r="C915"/>
  <c r="C484"/>
  <c r="C902"/>
  <c r="C900"/>
  <c r="C52"/>
  <c r="C532"/>
  <c r="C926"/>
  <c r="C924"/>
  <c r="C357"/>
  <c r="C92"/>
  <c r="C87"/>
  <c r="C1737"/>
  <c r="C1405"/>
  <c r="C1608"/>
  <c r="C1577"/>
  <c r="C1080"/>
  <c r="C1389"/>
  <c r="C1592"/>
  <c r="C236"/>
  <c r="C34"/>
  <c r="C29"/>
  <c r="C27"/>
  <c r="C469"/>
  <c r="C607"/>
  <c r="C604"/>
  <c r="C75"/>
  <c r="C517"/>
  <c r="C705"/>
  <c r="C697"/>
  <c r="C521"/>
  <c r="C73"/>
  <c r="C443"/>
  <c r="C703"/>
  <c r="C695"/>
  <c r="C396"/>
  <c r="C829"/>
  <c r="C821"/>
  <c r="C752"/>
  <c r="C404"/>
  <c r="C862"/>
  <c r="C860"/>
  <c r="C293"/>
  <c r="C786"/>
  <c r="C1383"/>
  <c r="C9"/>
  <c r="C350"/>
  <c r="C594"/>
  <c r="C853"/>
  <c r="C268"/>
  <c r="C701"/>
  <c r="C693"/>
  <c r="C688"/>
  <c r="C364"/>
  <c r="C797"/>
  <c r="C789"/>
  <c r="C261"/>
  <c r="C664"/>
  <c r="C1060"/>
  <c r="C722"/>
  <c r="C107"/>
  <c r="C549"/>
  <c r="C769"/>
  <c r="C761"/>
  <c r="C280"/>
  <c r="C498"/>
  <c r="C199"/>
  <c r="C180"/>
  <c r="C995"/>
  <c r="C1235"/>
  <c r="C865"/>
  <c r="C1646"/>
  <c r="C1568"/>
  <c r="C1234"/>
  <c r="C1788"/>
  <c r="C1203"/>
  <c r="C1306"/>
  <c r="C1510"/>
  <c r="C1112"/>
  <c r="C1421"/>
  <c r="C1624"/>
  <c r="C1609"/>
  <c r="H15" i="6"/>
  <c r="C923" i="5"/>
  <c r="C1266"/>
  <c r="C1599"/>
  <c r="C1961"/>
  <c r="C1129"/>
  <c r="C1378"/>
  <c r="C1583"/>
  <c r="C1945"/>
  <c r="C1139"/>
  <c r="C1693"/>
  <c r="C1446"/>
  <c r="C1049"/>
  <c r="C1357"/>
  <c r="C1560"/>
  <c r="C1481"/>
  <c r="C1841"/>
  <c r="F14" i="6"/>
  <c r="C1264" i="5"/>
  <c r="C575"/>
  <c r="C374"/>
  <c r="C440"/>
  <c r="C255"/>
  <c r="C505"/>
  <c r="C96"/>
  <c r="C511"/>
  <c r="C503"/>
  <c r="C661"/>
  <c r="C324"/>
  <c r="C1069"/>
  <c r="C1352"/>
  <c r="C1685"/>
  <c r="C1636"/>
  <c r="C1116"/>
  <c r="C1124"/>
  <c r="C1503"/>
  <c r="C1344"/>
  <c r="C935"/>
  <c r="C1973"/>
  <c r="C115"/>
  <c r="C1511"/>
  <c r="C1186"/>
  <c r="C1992"/>
  <c r="C1310"/>
  <c r="C1170"/>
  <c r="C891"/>
  <c r="C1051"/>
  <c r="C1439"/>
  <c r="C1281"/>
  <c r="C743"/>
  <c r="C1890"/>
  <c r="F8" i="6"/>
  <c r="C1975" i="5"/>
  <c r="C667"/>
  <c r="C1111"/>
  <c r="C1247"/>
  <c r="C1708"/>
  <c r="C864"/>
  <c r="C1029"/>
  <c r="C1232"/>
  <c r="C1676"/>
  <c r="C1194"/>
  <c r="C1682"/>
  <c r="C1212"/>
  <c r="C595"/>
  <c r="C314"/>
  <c r="C535"/>
  <c r="C826"/>
  <c r="C1663"/>
  <c r="C1863"/>
  <c r="C971"/>
  <c r="C1647"/>
  <c r="C911"/>
  <c r="C1424"/>
  <c r="C1492"/>
  <c r="C1697"/>
  <c r="C1655"/>
  <c r="C1728"/>
  <c r="C1361"/>
  <c r="C1644"/>
  <c r="C1347"/>
  <c r="C1597"/>
  <c r="C1350"/>
  <c r="C1946"/>
  <c r="C1259"/>
  <c r="C1581"/>
  <c r="C1334"/>
  <c r="C1925"/>
  <c r="C1360"/>
  <c r="C1428"/>
  <c r="C1633"/>
  <c r="C1591"/>
  <c r="C1675"/>
  <c r="C1295"/>
  <c r="C1715"/>
  <c r="J15" i="7"/>
  <c r="H8" i="3"/>
  <c r="C242" i="5"/>
  <c r="C1081"/>
  <c r="C1595"/>
  <c r="C1758"/>
  <c r="C1958"/>
  <c r="C1495"/>
  <c r="C603"/>
  <c r="C1434"/>
  <c r="C310"/>
  <c r="C850"/>
  <c r="C1467"/>
  <c r="C1767"/>
  <c r="C775"/>
  <c r="C1451"/>
  <c r="C1689"/>
  <c r="C848"/>
  <c r="C1013"/>
  <c r="C1216"/>
  <c r="C1282"/>
  <c r="C1063"/>
  <c r="C881"/>
  <c r="C1555"/>
  <c r="C1857"/>
  <c r="C508"/>
  <c r="C1648"/>
  <c r="C679"/>
  <c r="C1806"/>
  <c r="C1466"/>
  <c r="C1002"/>
  <c r="C615"/>
  <c r="C1790"/>
  <c r="C609"/>
  <c r="C949"/>
  <c r="C1152"/>
  <c r="C1637"/>
  <c r="C1236"/>
  <c r="C1202"/>
  <c r="C1983"/>
  <c r="C1795"/>
  <c r="C1710"/>
  <c r="C1692"/>
  <c r="C628"/>
  <c r="C954"/>
  <c r="C1122"/>
  <c r="C1808"/>
  <c r="C1509"/>
  <c r="C1140"/>
  <c r="C1395"/>
  <c r="C1052"/>
  <c r="C178"/>
  <c r="C14"/>
  <c r="C1156"/>
  <c r="C1414"/>
  <c r="C1183"/>
  <c r="C901"/>
  <c r="C1398"/>
  <c r="C1005"/>
  <c r="C730"/>
  <c r="C872"/>
  <c r="C655"/>
  <c r="C1600"/>
  <c r="C1668"/>
  <c r="C1933"/>
  <c r="C1814"/>
  <c r="C513"/>
  <c r="C1258"/>
  <c r="C1659"/>
  <c r="C1279"/>
  <c r="C1800"/>
  <c r="C1559"/>
  <c r="C1643"/>
  <c r="C1782"/>
  <c r="C877"/>
  <c r="C1422"/>
  <c r="C709"/>
  <c r="C962"/>
  <c r="C1536"/>
  <c r="C1604"/>
  <c r="C1869"/>
  <c r="C1960"/>
  <c r="F14" i="3"/>
  <c r="C1909" i="5"/>
  <c r="C1046"/>
  <c r="C1267"/>
  <c r="C1524"/>
  <c r="C1789"/>
  <c r="C975"/>
  <c r="C1440"/>
  <c r="C1508"/>
  <c r="C1713"/>
  <c r="C1546"/>
  <c r="C1050"/>
  <c r="C807"/>
  <c r="C1117"/>
  <c r="C778"/>
  <c r="C920"/>
  <c r="C1497"/>
  <c r="C1206"/>
  <c r="C1749"/>
  <c r="C1416"/>
  <c r="C1746"/>
  <c r="C889"/>
  <c r="C1741"/>
  <c r="C1400"/>
  <c r="C1730"/>
  <c r="C1543"/>
  <c r="C1627"/>
  <c r="C1774"/>
  <c r="C1187"/>
  <c r="C1290"/>
  <c r="C1813"/>
  <c r="C1526"/>
  <c r="C1552"/>
  <c r="C1382"/>
  <c r="C1472"/>
  <c r="C1138"/>
  <c r="C530"/>
  <c r="C1054"/>
  <c r="C1726"/>
  <c r="C1658"/>
  <c r="C1230"/>
  <c r="C1718"/>
  <c r="C912"/>
  <c r="C1565"/>
  <c r="C823"/>
  <c r="C1127"/>
  <c r="C1818"/>
  <c r="C1935"/>
  <c r="C1783"/>
  <c r="H38" i="2"/>
  <c r="F44"/>
  <c r="F42" i="1"/>
  <c r="I8" i="3"/>
  <c r="H31" i="2"/>
  <c r="C1893" i="5"/>
  <c r="H11" i="6"/>
  <c r="C1825" i="5"/>
  <c r="F6" i="7"/>
  <c r="H7" i="2"/>
  <c r="G129"/>
  <c r="G101" i="1"/>
  <c r="G98" i="2"/>
  <c r="C1910" i="5"/>
  <c r="C1939"/>
  <c r="C1846"/>
  <c r="H13" i="3"/>
  <c r="F105" i="2"/>
  <c r="G69"/>
  <c r="H69"/>
  <c r="F58"/>
  <c r="H83"/>
  <c r="G50"/>
  <c r="F53" i="1"/>
  <c r="H34"/>
  <c r="C1883" i="5"/>
  <c r="C1836"/>
  <c r="J7" i="7"/>
  <c r="F127" i="2"/>
  <c r="H94"/>
  <c r="H21"/>
  <c r="F87"/>
  <c r="G72"/>
  <c r="C1433" i="5"/>
  <c r="C1248"/>
  <c r="C1885"/>
  <c r="C687"/>
  <c r="C1701"/>
  <c r="C556"/>
  <c r="C1260"/>
  <c r="C1087"/>
  <c r="C432"/>
  <c r="C1621"/>
  <c r="C497"/>
  <c r="C181"/>
  <c r="C177"/>
  <c r="C551"/>
  <c r="C632"/>
  <c r="C756"/>
  <c r="C1652"/>
  <c r="C723"/>
  <c r="C1698"/>
  <c r="C1491"/>
  <c r="C1680"/>
  <c r="C1090"/>
  <c r="C1024"/>
  <c r="C1412"/>
  <c r="C1888"/>
  <c r="J6" i="7"/>
  <c r="C651" i="5"/>
  <c r="C776"/>
  <c r="C1903"/>
  <c r="C1304"/>
  <c r="C760"/>
  <c r="C1855"/>
  <c r="C1616"/>
  <c r="C1254"/>
  <c r="C960"/>
  <c r="C1348"/>
  <c r="C1824"/>
  <c r="H7" i="7"/>
  <c r="C1840" i="5"/>
  <c r="C316"/>
  <c r="C1520"/>
  <c r="C745"/>
  <c r="C1957"/>
  <c r="C1338"/>
  <c r="C938"/>
  <c r="C681"/>
  <c r="C1938"/>
  <c r="C784"/>
  <c r="C885"/>
  <c r="C174"/>
  <c r="C125"/>
  <c r="C634"/>
  <c r="C612"/>
  <c r="C1098"/>
  <c r="C1233"/>
  <c r="C1804"/>
  <c r="C1623"/>
  <c r="C1217"/>
  <c r="C1979"/>
  <c r="C1192"/>
  <c r="C1501"/>
  <c r="C1704"/>
  <c r="C1242"/>
  <c r="C1725"/>
  <c r="C1368"/>
  <c r="C1678"/>
  <c r="F12" i="6"/>
  <c r="C621" i="5"/>
  <c r="C1109"/>
  <c r="C1343"/>
  <c r="C1931"/>
  <c r="C841"/>
  <c r="C1102"/>
  <c r="C1328"/>
  <c r="C1915"/>
  <c r="C1128"/>
  <c r="C1437"/>
  <c r="C1640"/>
  <c r="C1178"/>
  <c r="C1666"/>
  <c r="C1305"/>
  <c r="C1550"/>
  <c r="K6" i="7"/>
  <c r="C1810" i="5"/>
  <c r="C1180"/>
  <c r="C1522"/>
  <c r="C1755"/>
  <c r="C1932"/>
  <c r="C1082"/>
  <c r="C205"/>
  <c r="C943"/>
  <c r="C17"/>
  <c r="C351"/>
  <c r="C1237"/>
  <c r="C1670"/>
  <c r="C1062"/>
  <c r="C1166"/>
  <c r="C1654"/>
  <c r="C1292"/>
  <c r="C922"/>
  <c r="C617"/>
  <c r="C859"/>
  <c r="C1406"/>
  <c r="C645"/>
  <c r="C1770"/>
  <c r="C1943"/>
  <c r="C726"/>
  <c r="C1033"/>
  <c r="C1331"/>
  <c r="C1537"/>
  <c r="C1871"/>
  <c r="C1769"/>
  <c r="C1315"/>
  <c r="C1521"/>
  <c r="C1142"/>
  <c r="C858"/>
  <c r="C619"/>
  <c r="C1119"/>
  <c r="C1342"/>
  <c r="C792"/>
  <c r="C1694"/>
  <c r="C1847"/>
  <c r="J13" i="6"/>
  <c r="C1513" i="5"/>
  <c r="C109"/>
  <c r="C1447"/>
  <c r="C712"/>
  <c r="C1534"/>
  <c r="C1164"/>
  <c r="C1696"/>
  <c r="C836"/>
  <c r="C262"/>
  <c r="C227"/>
  <c r="C173"/>
  <c r="C1575"/>
  <c r="C1120"/>
  <c r="C1798"/>
  <c r="C1374"/>
  <c r="C1104"/>
  <c r="C1614"/>
  <c r="C1479"/>
  <c r="C1563"/>
  <c r="C1742"/>
  <c r="C1123"/>
  <c r="C1677"/>
  <c r="C1430"/>
  <c r="C1816"/>
  <c r="C941"/>
  <c r="C1586"/>
  <c r="C1289"/>
  <c r="C1518"/>
  <c r="C1146"/>
  <c r="C1634"/>
  <c r="C1273"/>
  <c r="C1486"/>
  <c r="C1415"/>
  <c r="C1499"/>
  <c r="C1702"/>
  <c r="C1059"/>
  <c r="C1613"/>
  <c r="C1366"/>
  <c r="C1970"/>
  <c r="F9" i="6"/>
  <c r="C1876" i="5"/>
  <c r="C1529"/>
  <c r="C1541"/>
  <c r="C1533"/>
  <c r="C1286"/>
  <c r="C1861"/>
  <c r="C1208"/>
  <c r="C1517"/>
  <c r="C1270"/>
  <c r="C1842"/>
  <c r="C1297"/>
  <c r="C1364"/>
  <c r="C1569"/>
  <c r="C1527"/>
  <c r="C1611"/>
  <c r="C1766"/>
  <c r="C1044"/>
  <c r="C1220"/>
  <c r="C1184"/>
  <c r="C1580"/>
  <c r="C677"/>
  <c r="C965"/>
  <c r="C1168"/>
  <c r="C1548"/>
  <c r="C1130"/>
  <c r="C1618"/>
  <c r="C1773"/>
  <c r="C1015"/>
  <c r="C1284"/>
  <c r="C1797"/>
  <c r="C1106"/>
  <c r="C711"/>
  <c r="C1088"/>
  <c r="C985"/>
  <c r="C1540"/>
  <c r="C321"/>
  <c r="C1326"/>
  <c r="C1471"/>
  <c r="C1894"/>
  <c r="C625"/>
  <c r="C1455"/>
  <c r="C1244"/>
  <c r="C1077"/>
  <c r="C1318"/>
  <c r="C1408"/>
  <c r="C1683"/>
  <c r="C6"/>
  <c r="C10" i="3"/>
  <c r="H95" i="2"/>
  <c r="G33"/>
  <c r="F98"/>
  <c r="H142" i="1"/>
  <c r="C811" i="5"/>
  <c r="C1896"/>
  <c r="C1907"/>
  <c r="F150" i="1"/>
  <c r="F130" i="2"/>
  <c r="F73"/>
  <c r="G94"/>
  <c r="F104" i="1"/>
  <c r="H163"/>
  <c r="C1849" i="5"/>
  <c r="C1641"/>
  <c r="F6" i="6"/>
  <c r="H12"/>
  <c r="G135" i="2"/>
  <c r="F85"/>
  <c r="G124"/>
  <c r="H119"/>
  <c r="G21"/>
  <c r="H104" i="1"/>
  <c r="I31" i="2"/>
  <c r="C1494" i="5"/>
  <c r="J14" i="6"/>
  <c r="C1564" i="5"/>
  <c r="J11" i="7"/>
  <c r="G44" i="2"/>
  <c r="G134" i="1"/>
  <c r="G90" i="2"/>
  <c r="G89" i="1"/>
  <c r="H24"/>
  <c r="C1747" i="5"/>
  <c r="C493"/>
  <c r="C561"/>
  <c r="C207"/>
  <c r="C231"/>
  <c r="C257"/>
  <c r="C1071"/>
  <c r="C99"/>
  <c r="C716"/>
  <c r="C555"/>
  <c r="C133"/>
  <c r="C229"/>
  <c r="C931"/>
  <c r="C1650"/>
  <c r="C1523"/>
  <c r="C1256"/>
  <c r="C1901"/>
  <c r="C1035"/>
  <c r="C680"/>
  <c r="C1610"/>
  <c r="C1189"/>
  <c r="C1617"/>
  <c r="C1628"/>
  <c r="C724"/>
  <c r="C1403"/>
  <c r="C1662"/>
  <c r="C1605"/>
  <c r="C1387"/>
  <c r="C1630"/>
  <c r="C919"/>
  <c r="C1684"/>
  <c r="C1530"/>
  <c r="C1125"/>
  <c r="C1553"/>
  <c r="C1500"/>
  <c r="C1911"/>
  <c r="C582"/>
  <c r="C969"/>
  <c r="C1784"/>
  <c r="C1473"/>
  <c r="C1991"/>
  <c r="C1735"/>
  <c r="C1776"/>
  <c r="C1457"/>
  <c r="C1253"/>
  <c r="C653"/>
  <c r="C1000"/>
  <c r="C201"/>
  <c r="C182"/>
  <c r="C630"/>
  <c r="C706"/>
  <c r="C1720"/>
  <c r="C1902"/>
  <c r="C1193"/>
  <c r="C1707"/>
  <c r="C1886"/>
  <c r="C779"/>
  <c r="C1257"/>
  <c r="C1227"/>
  <c r="C832"/>
  <c r="C933"/>
  <c r="C1136"/>
  <c r="C1484"/>
  <c r="C1892"/>
  <c r="C557"/>
  <c r="C762"/>
  <c r="C1169"/>
  <c r="C1838"/>
  <c r="C1771"/>
  <c r="C815"/>
  <c r="C1153"/>
  <c r="C1822"/>
  <c r="C1040"/>
  <c r="C1205"/>
  <c r="C1163"/>
  <c r="C768"/>
  <c r="C869"/>
  <c r="C1072"/>
  <c r="C1356"/>
  <c r="C1828"/>
  <c r="C1799"/>
  <c r="C1859"/>
  <c r="C757"/>
  <c r="C875"/>
  <c r="C993"/>
  <c r="C1748"/>
  <c r="C1411"/>
  <c r="C895"/>
  <c r="C546"/>
  <c r="C332"/>
  <c r="C193"/>
  <c r="C1392"/>
  <c r="C1407"/>
  <c r="C1830"/>
  <c r="C717"/>
  <c r="C1391"/>
  <c r="C1545"/>
  <c r="C1727"/>
  <c r="C1768"/>
  <c r="C1441"/>
  <c r="C1399"/>
  <c r="C1483"/>
  <c r="C1686"/>
  <c r="C1914"/>
  <c r="H14" i="3"/>
  <c r="L14"/>
  <c r="C1674" i="5"/>
  <c r="C1341"/>
  <c r="C1544"/>
  <c r="C1449"/>
  <c r="C1017"/>
  <c r="C1325"/>
  <c r="C1528"/>
  <c r="C1417"/>
  <c r="C1671"/>
  <c r="C1736"/>
  <c r="C1377"/>
  <c r="C1335"/>
  <c r="C1419"/>
  <c r="C1622"/>
  <c r="C1401"/>
  <c r="H15" i="3"/>
  <c r="J14" i="7"/>
  <c r="C114" i="5"/>
  <c r="C880"/>
  <c r="C1339"/>
  <c r="C1542"/>
  <c r="C1928"/>
  <c r="C1219"/>
  <c r="C838"/>
  <c r="C669"/>
  <c r="C340"/>
  <c r="C765"/>
  <c r="C1427"/>
  <c r="C840"/>
  <c r="C1452"/>
  <c r="C1091"/>
  <c r="C824"/>
  <c r="C1420"/>
  <c r="C1066"/>
  <c r="C1554"/>
  <c r="C1739"/>
  <c r="C887"/>
  <c r="C1198"/>
  <c r="C1423"/>
  <c r="C1787"/>
  <c r="C916"/>
  <c r="C1092"/>
  <c r="C1056"/>
  <c r="C1323"/>
  <c r="C720"/>
  <c r="C1223"/>
  <c r="C1041"/>
  <c r="C1291"/>
  <c r="C1241"/>
  <c r="C1490"/>
  <c r="C1695"/>
  <c r="C647"/>
  <c r="C1134"/>
  <c r="C1359"/>
  <c r="C1947"/>
  <c r="C1667"/>
  <c r="C1924"/>
  <c r="C991"/>
  <c r="C1045"/>
  <c r="C1280"/>
  <c r="C1867"/>
  <c r="C593"/>
  <c r="C1265"/>
  <c r="C1243"/>
  <c r="C1851"/>
  <c r="C1064"/>
  <c r="C1373"/>
  <c r="C1576"/>
  <c r="C1114"/>
  <c r="C1602"/>
  <c r="C1763"/>
  <c r="C238"/>
  <c r="C1456"/>
  <c r="C747"/>
  <c r="C1874"/>
  <c r="C1190"/>
  <c r="C874"/>
  <c r="C683"/>
  <c r="C1850"/>
  <c r="C704"/>
  <c r="C1207"/>
  <c r="C1025"/>
  <c r="C1477"/>
  <c r="C1108"/>
  <c r="C1952"/>
  <c r="C1322"/>
  <c r="C1026"/>
  <c r="C1620"/>
  <c r="C1557"/>
  <c r="C1293"/>
  <c r="C1805"/>
  <c r="C983"/>
  <c r="C1023"/>
  <c r="C1833"/>
  <c r="C1431"/>
  <c r="C999"/>
  <c r="C1817"/>
  <c r="C1294"/>
  <c r="C1263"/>
  <c r="C921"/>
  <c r="C1476"/>
  <c r="I15" i="6"/>
  <c r="C1953" i="5"/>
  <c r="H14" i="6"/>
  <c r="I14"/>
  <c r="F56" i="2"/>
  <c r="H45" i="1"/>
  <c r="H100" i="2"/>
  <c r="G48"/>
  <c r="H162" i="1"/>
  <c r="F45"/>
  <c r="C1372" i="5"/>
  <c r="C1940"/>
  <c r="C1926"/>
  <c r="F116" i="2"/>
  <c r="F37"/>
  <c r="H138" i="1"/>
  <c r="C1734" i="5"/>
  <c r="F11" i="6"/>
  <c r="C1858" i="5"/>
  <c r="H13" i="7"/>
  <c r="F23" i="2"/>
  <c r="G60"/>
  <c r="F129" i="1"/>
  <c r="G53"/>
  <c r="F54"/>
  <c r="H97"/>
  <c r="L163"/>
  <c r="F7" i="7"/>
  <c r="C1459" i="5"/>
  <c r="C1532"/>
  <c r="I11" i="6"/>
  <c r="C496" i="5"/>
  <c r="C79"/>
  <c r="C209"/>
  <c r="C233"/>
  <c r="C212"/>
  <c r="C429"/>
  <c r="C15"/>
  <c r="C492"/>
  <c r="C85"/>
  <c r="C1386"/>
  <c r="C1252"/>
  <c r="C758"/>
  <c r="C689"/>
  <c r="C1917"/>
  <c r="C1210"/>
  <c r="C1336"/>
  <c r="C1493"/>
  <c r="C1300"/>
  <c r="C1470"/>
  <c r="C755"/>
  <c r="C1147"/>
  <c r="C1778"/>
  <c r="C112"/>
  <c r="C1018"/>
  <c r="C1606"/>
  <c r="C1055"/>
  <c r="C1204"/>
  <c r="C1590"/>
  <c r="C1413"/>
  <c r="C1214"/>
  <c r="C1949"/>
  <c r="C1034"/>
  <c r="C1083"/>
  <c r="C1900"/>
  <c r="C1829"/>
  <c r="C1889"/>
  <c r="C1354"/>
  <c r="C1277"/>
  <c r="C1480"/>
  <c r="C1319"/>
  <c r="C953"/>
  <c r="C1775"/>
  <c r="C1464"/>
  <c r="C1287"/>
  <c r="C1607"/>
  <c r="C1691"/>
  <c r="C559"/>
  <c r="C599"/>
  <c r="C225"/>
  <c r="C368"/>
  <c r="C1332"/>
  <c r="C1345"/>
  <c r="C1349"/>
  <c r="C1442"/>
  <c r="C1327"/>
  <c r="C1721"/>
  <c r="C817"/>
  <c r="C1068"/>
  <c r="C1126"/>
  <c r="C842"/>
  <c r="C1048"/>
  <c r="C1809"/>
  <c r="C1699"/>
  <c r="C801"/>
  <c r="C1171"/>
  <c r="C1588"/>
  <c r="C1853"/>
  <c r="C813"/>
  <c r="C1504"/>
  <c r="C1572"/>
  <c r="C1837"/>
  <c r="C1626"/>
  <c r="C819"/>
  <c r="C967"/>
  <c r="C1245"/>
  <c r="C591"/>
  <c r="C984"/>
  <c r="C1625"/>
  <c r="C1571"/>
  <c r="F13" i="3"/>
  <c r="C1862" i="5"/>
  <c r="C223"/>
  <c r="C1743"/>
  <c r="C904"/>
  <c r="C1465"/>
  <c r="C1053"/>
  <c r="C899"/>
  <c r="C947"/>
  <c r="C328"/>
  <c r="C675"/>
  <c r="C649"/>
  <c r="C1032"/>
  <c r="C1995"/>
  <c r="C1367"/>
  <c r="C1016"/>
  <c r="C1930"/>
  <c r="C937"/>
  <c r="C1765"/>
  <c r="C1448"/>
  <c r="C1225"/>
  <c r="C1474"/>
  <c r="C1679"/>
  <c r="C1820"/>
  <c r="F10" i="7"/>
  <c r="C793" i="5"/>
  <c r="C1175"/>
  <c r="C1067"/>
  <c r="C1866"/>
  <c r="C928"/>
  <c r="C1093"/>
  <c r="C861"/>
  <c r="C1845"/>
  <c r="C873"/>
  <c r="C1733"/>
  <c r="C1384"/>
  <c r="C1161"/>
  <c r="C1410"/>
  <c r="C1615"/>
  <c r="C1977"/>
  <c r="F13" i="7"/>
  <c r="C1596" i="5"/>
  <c r="F8" i="7"/>
  <c r="C787" i="5"/>
  <c r="C1118"/>
  <c r="C1535"/>
  <c r="C1897"/>
  <c r="C1057"/>
  <c r="C1316"/>
  <c r="C278"/>
  <c r="C1149"/>
  <c r="C577"/>
  <c r="C948"/>
  <c r="C1661"/>
  <c r="C1754"/>
  <c r="C800"/>
  <c r="C1645"/>
  <c r="C1738"/>
  <c r="C1379"/>
  <c r="C1143"/>
  <c r="C961"/>
  <c r="C1381"/>
  <c r="C1031"/>
  <c r="C1246"/>
  <c r="C1918"/>
  <c r="C1827"/>
  <c r="C319"/>
  <c r="C1777"/>
  <c r="C968"/>
  <c r="C1593"/>
  <c r="C1181"/>
  <c r="C810"/>
  <c r="C952"/>
  <c r="C1561"/>
  <c r="C1298"/>
  <c r="C1079"/>
  <c r="C897"/>
  <c r="C1301"/>
  <c r="C907"/>
  <c r="C1185"/>
  <c r="C1854"/>
  <c r="C1986"/>
  <c r="C1516"/>
  <c r="C1740"/>
  <c r="C296"/>
  <c r="C698"/>
  <c r="C1105"/>
  <c r="C2000"/>
  <c r="C1729"/>
  <c r="C851"/>
  <c r="C1089"/>
  <c r="C1984"/>
  <c r="C976"/>
  <c r="C1141"/>
  <c r="C1099"/>
  <c r="C1443"/>
  <c r="C1191"/>
  <c r="C1009"/>
  <c r="C560"/>
  <c r="C905"/>
  <c r="C1752"/>
  <c r="C1409"/>
  <c r="C1927"/>
  <c r="C1687"/>
  <c r="C1744"/>
  <c r="C1393"/>
  <c r="C1133"/>
  <c r="C794"/>
  <c r="C936"/>
  <c r="C1100"/>
  <c r="C1664"/>
  <c r="C1047"/>
  <c r="H9" i="6"/>
  <c r="C1792" i="5"/>
  <c r="C1150"/>
  <c r="C770"/>
  <c r="C1172"/>
  <c r="C1496"/>
  <c r="C1042"/>
  <c r="C1531"/>
  <c r="C1936"/>
  <c r="C951"/>
  <c r="C1515"/>
  <c r="C1920"/>
  <c r="C1251"/>
  <c r="C744"/>
  <c r="C1363"/>
  <c r="C1757"/>
  <c r="I7" i="7"/>
  <c r="C1781" i="5"/>
  <c r="C1971"/>
  <c r="F82" i="2"/>
  <c r="G34" i="1"/>
  <c r="F32" i="2"/>
  <c r="F72"/>
  <c r="H110"/>
  <c r="F38" i="1"/>
  <c r="C1353" i="5"/>
  <c r="C1831"/>
  <c r="J11" i="6"/>
  <c r="F157" i="1"/>
  <c r="G39" i="2"/>
  <c r="F45"/>
  <c r="H85"/>
  <c r="H71" i="1"/>
  <c r="G17" i="2"/>
  <c r="H14" i="7"/>
  <c r="C1388" i="5"/>
  <c r="C1843"/>
  <c r="J15" i="6"/>
  <c r="F50" i="1"/>
  <c r="H135" i="2"/>
  <c r="G100" i="1"/>
  <c r="H109"/>
  <c r="H12" i="2"/>
  <c r="F34"/>
  <c r="H27" i="1"/>
  <c r="F137"/>
  <c r="F41" i="2"/>
  <c r="F92" i="1"/>
  <c r="C1832" i="5"/>
  <c r="C1875"/>
  <c r="C1454"/>
  <c r="O10" i="3"/>
  <c r="G87" i="2"/>
  <c r="F117" i="1"/>
  <c r="G113" i="2"/>
  <c r="H133"/>
  <c r="C1570" i="5"/>
  <c r="C1916"/>
  <c r="C1435"/>
  <c r="C1753"/>
  <c r="C1346"/>
  <c r="C1489"/>
  <c r="C741"/>
  <c r="C837"/>
  <c r="C1802"/>
  <c r="C1155"/>
  <c r="C773"/>
  <c r="C1786"/>
  <c r="C1488"/>
  <c r="C1154"/>
  <c r="C857"/>
  <c r="C1760"/>
  <c r="F15" i="3"/>
  <c r="C1794" i="5"/>
  <c r="H90" i="2"/>
  <c r="H29"/>
  <c r="F109" i="1"/>
  <c r="F128" i="2"/>
  <c r="H50"/>
  <c r="G145" i="1"/>
  <c r="C1963" i="5"/>
  <c r="C1834"/>
  <c r="H9" i="3"/>
  <c r="F124" i="2"/>
  <c r="H19"/>
  <c r="G116"/>
  <c r="G160" i="1"/>
  <c r="F44"/>
  <c r="H107" i="2"/>
  <c r="H124" i="1"/>
  <c r="C1972" i="5"/>
  <c r="C1722"/>
  <c r="C1660"/>
  <c r="L12" i="6"/>
  <c r="G22" i="1"/>
  <c r="F75" i="2"/>
  <c r="H17"/>
  <c r="G77" i="1"/>
  <c r="H70" i="2"/>
  <c r="K11" i="6"/>
  <c r="G71" i="1"/>
  <c r="F101" i="2"/>
  <c r="C1764" i="5"/>
  <c r="C1934"/>
  <c r="C1780"/>
  <c r="H12" i="3"/>
  <c r="G122" i="2"/>
  <c r="F51"/>
  <c r="G121"/>
  <c r="C1519" i="5"/>
  <c r="C1075"/>
  <c r="C1631"/>
  <c r="C1272"/>
  <c r="C809"/>
  <c r="C23"/>
  <c r="C623"/>
  <c r="C1672"/>
  <c r="C1019"/>
  <c r="C1095"/>
  <c r="C1656"/>
  <c r="C1761"/>
  <c r="C1362"/>
  <c r="C1505"/>
  <c r="C906"/>
  <c r="C1884"/>
  <c r="C1962"/>
  <c r="G106" i="1"/>
  <c r="C1351" i="5"/>
  <c r="C1751"/>
  <c r="C28"/>
  <c r="C981"/>
  <c r="C1337"/>
  <c r="C682"/>
  <c r="C1462"/>
  <c r="C1001"/>
  <c r="C1512"/>
  <c r="C753"/>
  <c r="H9" i="7"/>
  <c r="H15"/>
  <c r="G89" i="2"/>
  <c r="G40" i="1"/>
  <c r="F55"/>
  <c r="G105"/>
  <c r="H109" i="2"/>
  <c r="C1913" i="5"/>
  <c r="C2003"/>
  <c r="F9" i="7"/>
  <c r="F48" i="2"/>
  <c r="H85" i="1"/>
  <c r="F110" i="2"/>
  <c r="H42"/>
  <c r="H140"/>
  <c r="H28"/>
  <c r="C1612" i="5"/>
  <c r="C1785"/>
  <c r="J13" i="7"/>
  <c r="F93" i="1"/>
  <c r="G157"/>
  <c r="G56" i="2"/>
  <c r="G77"/>
  <c r="H139" i="1"/>
  <c r="G48"/>
  <c r="H30"/>
  <c r="C1998" i="5"/>
  <c r="C1475"/>
  <c r="G141" i="2"/>
  <c r="H112" i="1"/>
  <c r="H149"/>
  <c r="H111" i="2"/>
  <c r="C1159" i="5"/>
  <c r="C1317"/>
  <c r="C1311"/>
  <c r="C1070"/>
  <c r="C1978"/>
  <c r="C1469"/>
  <c r="C1651"/>
  <c r="C1632"/>
  <c r="C1965"/>
  <c r="C1759"/>
  <c r="C1567"/>
  <c r="C1249"/>
  <c r="H10" i="6"/>
  <c r="L7" i="7"/>
  <c r="F10" i="3"/>
  <c r="G147" i="1"/>
  <c r="H92" i="2"/>
  <c r="F90"/>
  <c r="H30"/>
  <c r="F69"/>
  <c r="J87"/>
  <c r="C1865" i="5"/>
  <c r="C1877"/>
  <c r="C1899"/>
  <c r="C15" i="3"/>
  <c r="G112" i="2"/>
  <c r="K14" i="7"/>
  <c r="F8" i="2"/>
  <c r="G13"/>
  <c r="H65"/>
  <c r="H141" i="1"/>
  <c r="H86"/>
  <c r="C1880" i="5"/>
  <c r="C1507"/>
  <c r="C1826"/>
  <c r="F12" i="3"/>
  <c r="G138" i="2"/>
  <c r="J15" i="3"/>
  <c r="F64" i="2"/>
  <c r="G73"/>
  <c r="K15" i="3"/>
  <c r="H81" i="2"/>
  <c r="G117"/>
  <c r="G16"/>
  <c r="G103" i="1"/>
  <c r="F100"/>
  <c r="I42" i="2"/>
  <c r="C1791" i="5"/>
  <c r="C9" i="3"/>
  <c r="C1796" i="5"/>
  <c r="F12" i="7"/>
  <c r="H17" i="3"/>
  <c r="G20" i="1"/>
  <c r="H76" i="2"/>
  <c r="F9"/>
  <c r="C977" i="5"/>
  <c r="C1177"/>
  <c r="C1375"/>
  <c r="C1240"/>
  <c r="C728"/>
  <c r="C918"/>
  <c r="C890"/>
  <c r="C1723"/>
  <c r="C1539"/>
  <c r="C1073"/>
  <c r="C1711"/>
  <c r="C1418"/>
  <c r="C1086"/>
  <c r="C1574"/>
  <c r="C714"/>
  <c r="C1819"/>
  <c r="C1340"/>
  <c r="C1839"/>
  <c r="I15" i="7"/>
  <c r="H129" i="1"/>
  <c r="G82" i="2"/>
  <c r="G162" i="1"/>
  <c r="F152"/>
  <c r="F47" i="2"/>
  <c r="G91"/>
  <c r="H61"/>
  <c r="C1955" i="5"/>
  <c r="H12" i="7"/>
  <c r="C1988" i="5"/>
  <c r="C16" i="3"/>
  <c r="F46" i="1"/>
  <c r="F120" i="2"/>
  <c r="G97" i="1"/>
  <c r="G116"/>
  <c r="G10" i="2"/>
  <c r="G144" i="1"/>
  <c r="G38" i="2"/>
  <c r="C1772" i="5"/>
  <c r="C1812"/>
  <c r="C1959"/>
  <c r="C14" i="3"/>
  <c r="H34" i="2"/>
  <c r="G64"/>
  <c r="H116" i="1"/>
  <c r="H55"/>
  <c r="H84"/>
  <c r="H88"/>
  <c r="J143" i="2"/>
  <c r="C1980" i="5"/>
  <c r="C1878"/>
  <c r="H11" i="7"/>
  <c r="J7" i="6"/>
  <c r="G137" i="2"/>
  <c r="K7" i="7"/>
  <c r="G156" i="1"/>
  <c r="G78" i="2"/>
  <c r="H78" i="1"/>
  <c r="H103" i="2"/>
  <c r="H26" i="1"/>
  <c r="J80"/>
  <c r="F86" i="2"/>
  <c r="H87" i="1"/>
  <c r="G18" i="2"/>
  <c r="F57" i="1"/>
  <c r="J103"/>
  <c r="H60" i="2"/>
  <c r="H72" i="1"/>
  <c r="F96" i="2"/>
  <c r="H145" i="1"/>
  <c r="H89"/>
  <c r="H125" i="2"/>
  <c r="G28"/>
  <c r="H47" i="1"/>
  <c r="I109" i="2"/>
  <c r="G6"/>
  <c r="G43"/>
  <c r="G152" i="1"/>
  <c r="J128" i="2"/>
  <c r="F138"/>
  <c r="L24" i="1"/>
  <c r="F55" i="2"/>
  <c r="H94" i="1"/>
  <c r="F60"/>
  <c r="G114" i="2"/>
  <c r="F11"/>
  <c r="F37" i="1"/>
  <c r="F32"/>
  <c r="G122"/>
  <c r="H115" i="2"/>
  <c r="G107" i="1"/>
  <c r="H127"/>
  <c r="H108"/>
  <c r="H117" i="2"/>
  <c r="F12"/>
  <c r="H59"/>
  <c r="G115" i="1"/>
  <c r="H159"/>
  <c r="G97" i="2"/>
  <c r="G93" i="1"/>
  <c r="G109" i="2"/>
  <c r="F113"/>
  <c r="F146" i="1"/>
  <c r="F14" i="2"/>
  <c r="F144"/>
  <c r="G134"/>
  <c r="H136" i="1"/>
  <c r="G85"/>
  <c r="C1669" i="5"/>
  <c r="C1097"/>
  <c r="C1551"/>
  <c r="C1703"/>
  <c r="C1478"/>
  <c r="C596"/>
  <c r="C1179"/>
  <c r="C1573"/>
  <c r="C1556"/>
  <c r="C1719"/>
  <c r="C1968"/>
  <c r="C1993"/>
  <c r="I15" i="3"/>
  <c r="F61" i="1"/>
  <c r="G60"/>
  <c r="H98" i="2"/>
  <c r="C1425" i="5"/>
  <c r="C1779"/>
  <c r="C1906"/>
  <c r="C12" i="3"/>
  <c r="G128" i="2"/>
  <c r="G100"/>
  <c r="G25"/>
  <c r="C1731" i="5"/>
  <c r="C1587"/>
  <c r="C1385"/>
  <c r="G9" i="2"/>
  <c r="H87"/>
  <c r="F91" i="1"/>
  <c r="C1487" i="5"/>
  <c r="C1468"/>
  <c r="C1844"/>
  <c r="L9" i="6"/>
  <c r="H143" i="1"/>
  <c r="F147"/>
  <c r="F77" i="2"/>
  <c r="C1881" i="5"/>
  <c r="C1201"/>
  <c r="C970"/>
  <c r="C1558"/>
  <c r="C1320"/>
  <c r="C1981"/>
  <c r="C1144"/>
  <c r="C913"/>
  <c r="C1113"/>
  <c r="C1137"/>
  <c r="C1463"/>
  <c r="C1921"/>
  <c r="C1436"/>
  <c r="C1948"/>
  <c r="G29" i="2"/>
  <c r="G126"/>
  <c r="F52" i="1"/>
  <c r="H46"/>
  <c r="C1801" i="5"/>
  <c r="C1994"/>
  <c r="J9" i="6"/>
  <c r="F103" i="1"/>
  <c r="G85" i="2"/>
  <c r="G51" i="1"/>
  <c r="F143"/>
  <c r="H108" i="2"/>
  <c r="H35" i="1"/>
  <c r="C1982" i="5"/>
  <c r="F8" i="3"/>
  <c r="C1860" i="5"/>
  <c r="F10" i="6"/>
  <c r="F99" i="2"/>
  <c r="G136"/>
  <c r="H68" i="1"/>
  <c r="G32"/>
  <c r="F46" i="2"/>
  <c r="F30"/>
  <c r="H135" i="1"/>
  <c r="G129"/>
  <c r="F88" i="2"/>
  <c r="C1074" i="5"/>
  <c r="C1942"/>
  <c r="C1811"/>
  <c r="F35" i="1"/>
  <c r="F91" i="2"/>
  <c r="F92"/>
  <c r="H52"/>
  <c r="C1579" i="5"/>
  <c r="C1135"/>
  <c r="C808"/>
  <c r="C896"/>
  <c r="C1549"/>
  <c r="C1566"/>
  <c r="C1224"/>
  <c r="C1058"/>
  <c r="C1868"/>
  <c r="C1376"/>
  <c r="C1262"/>
  <c r="C1852"/>
  <c r="C986"/>
  <c r="C1312"/>
  <c r="C1176"/>
  <c r="C1211"/>
  <c r="C1904"/>
  <c r="C1996"/>
  <c r="H7" i="6"/>
  <c r="G15" i="2"/>
  <c r="H129"/>
  <c r="G93"/>
  <c r="G47"/>
  <c r="H124"/>
  <c r="F79" i="1"/>
  <c r="G86"/>
  <c r="C1944" i="5"/>
  <c r="C1756"/>
  <c r="C1807"/>
  <c r="H11" i="3"/>
  <c r="I11"/>
  <c r="G120" i="2"/>
  <c r="F66"/>
  <c r="H26"/>
  <c r="H21" i="1"/>
  <c r="H106" i="2"/>
  <c r="F85" i="1"/>
  <c r="C1762" i="5"/>
  <c r="C1974"/>
  <c r="C2002"/>
  <c r="F11" i="3"/>
  <c r="F27" i="2"/>
  <c r="H39"/>
  <c r="G118" i="1"/>
  <c r="F74" i="2"/>
  <c r="H93"/>
  <c r="I44" i="1"/>
  <c r="F36" i="2"/>
  <c r="F87" i="1"/>
  <c r="F106" i="2"/>
  <c r="C1997" i="5"/>
  <c r="C13" i="3"/>
  <c r="C1923" i="5"/>
  <c r="J12" i="7"/>
  <c r="H6" i="6"/>
  <c r="G30" i="1"/>
  <c r="G31"/>
  <c r="H131" i="2"/>
  <c r="G133" i="1"/>
  <c r="F93" i="2"/>
  <c r="H74"/>
  <c r="J99"/>
  <c r="H132" i="1"/>
  <c r="F121" i="2"/>
  <c r="L84" i="1"/>
  <c r="H138" i="2"/>
  <c r="F26" i="1"/>
  <c r="G136"/>
  <c r="I110" i="2"/>
  <c r="G158" i="1"/>
  <c r="I91"/>
  <c r="H77"/>
  <c r="H161"/>
  <c r="G73"/>
  <c r="J64" i="2"/>
  <c r="F22"/>
  <c r="L46" i="1"/>
  <c r="F141" i="2"/>
  <c r="G148" i="1"/>
  <c r="L78"/>
  <c r="H144"/>
  <c r="G101" i="2"/>
  <c r="G99"/>
  <c r="F111" i="1"/>
  <c r="I108" i="2"/>
  <c r="F80" i="1"/>
  <c r="G81"/>
  <c r="H98"/>
  <c r="H28"/>
  <c r="J47"/>
  <c r="J34"/>
  <c r="I53"/>
  <c r="I87" i="2"/>
  <c r="F122" i="1"/>
  <c r="G40" i="2"/>
  <c r="I65"/>
  <c r="H123"/>
  <c r="G53"/>
  <c r="F31" i="1"/>
  <c r="F90"/>
  <c r="G23"/>
  <c r="H144" i="2"/>
  <c r="F96" i="1"/>
  <c r="H86" i="2"/>
  <c r="F13"/>
  <c r="G132"/>
  <c r="E6" i="5"/>
  <c r="H70" i="1"/>
  <c r="J14" i="2"/>
  <c r="I87" i="1"/>
  <c r="M46"/>
  <c r="I37"/>
  <c r="H27" i="2"/>
  <c r="G36" i="1"/>
  <c r="F20"/>
  <c r="F73"/>
  <c r="F78"/>
  <c r="G52"/>
  <c r="C888" i="5"/>
  <c r="C1321"/>
  <c r="C1121"/>
  <c r="C927"/>
  <c r="C1195"/>
  <c r="C925"/>
  <c r="C1709"/>
  <c r="C834"/>
  <c r="C1309"/>
  <c r="C1690"/>
  <c r="C1681"/>
  <c r="C1905"/>
  <c r="C1922"/>
  <c r="G68" i="2"/>
  <c r="G92"/>
  <c r="F35"/>
  <c r="H59" i="1"/>
  <c r="H10" i="3"/>
  <c r="F11" i="7"/>
  <c r="C17" i="3"/>
  <c r="F68" i="2"/>
  <c r="F115" i="1"/>
  <c r="I115"/>
  <c r="F108" i="2"/>
  <c r="F77" i="1"/>
  <c r="H146"/>
  <c r="I14" i="7"/>
  <c r="J6" i="6"/>
  <c r="F43" i="2"/>
  <c r="H99"/>
  <c r="G109" i="1"/>
  <c r="F130"/>
  <c r="G106" i="2"/>
  <c r="H134"/>
  <c r="H8" i="7"/>
  <c r="I8"/>
  <c r="C1603" i="5"/>
  <c r="F16" i="3"/>
  <c r="H36" i="1"/>
  <c r="F115" i="2"/>
  <c r="F53"/>
  <c r="F153" i="1"/>
  <c r="C1502" i="5"/>
  <c r="C1629"/>
  <c r="C713"/>
  <c r="C1296"/>
  <c r="C1445"/>
  <c r="C929"/>
  <c r="C1314"/>
  <c r="C1700"/>
  <c r="C1673"/>
  <c r="C1299"/>
  <c r="C715"/>
  <c r="C1688"/>
  <c r="C1870"/>
  <c r="C1404"/>
  <c r="H16" i="3"/>
  <c r="I9" i="6"/>
  <c r="G154" i="1"/>
  <c r="G115" i="2"/>
  <c r="G102" i="1"/>
  <c r="H49"/>
  <c r="L49"/>
  <c r="H33" i="2"/>
  <c r="C1432" i="5"/>
  <c r="F7" i="6"/>
  <c r="C1307" i="5"/>
  <c r="C2004"/>
  <c r="L9" i="3"/>
  <c r="G35" i="2"/>
  <c r="F101" i="1"/>
  <c r="G121"/>
  <c r="H96"/>
  <c r="L96"/>
  <c r="H120"/>
  <c r="C945" i="5"/>
  <c r="F15" i="6"/>
  <c r="C1815" i="5"/>
  <c r="C1908"/>
  <c r="F17" i="3"/>
  <c r="G63" i="2"/>
  <c r="G14"/>
  <c r="H23" i="1"/>
  <c r="H54" i="2"/>
  <c r="F67" i="1"/>
  <c r="H137"/>
  <c r="H40" i="2"/>
  <c r="G123" i="1"/>
  <c r="C1898" i="5"/>
  <c r="H10" i="7"/>
  <c r="C1879" i="5"/>
  <c r="I10" i="3"/>
  <c r="H79" i="2"/>
  <c r="G20"/>
  <c r="C746" i="5"/>
  <c r="C1732"/>
  <c r="C1426"/>
  <c r="C1228"/>
  <c r="C1061"/>
  <c r="C1302"/>
  <c r="C1039"/>
  <c r="C1460"/>
  <c r="C1966"/>
  <c r="C1250"/>
  <c r="C1444"/>
  <c r="C1950"/>
  <c r="C1288"/>
  <c r="C849"/>
  <c r="C805"/>
  <c r="C1485"/>
  <c r="J9" i="7"/>
  <c r="C1919" i="5"/>
  <c r="C2001"/>
  <c r="G133" i="2"/>
  <c r="G26"/>
  <c r="G131"/>
  <c r="H6"/>
  <c r="H46"/>
  <c r="M14" i="3"/>
  <c r="G111" i="1"/>
  <c r="C1823" i="5"/>
  <c r="C1271"/>
  <c r="C1887"/>
  <c r="F14" i="7"/>
  <c r="G108" i="2"/>
  <c r="F40" i="1"/>
  <c r="G61" i="2"/>
  <c r="F103"/>
  <c r="H120"/>
  <c r="C1369" i="5"/>
  <c r="F13" i="6"/>
  <c r="C1987" i="5"/>
  <c r="I13" i="7"/>
  <c r="G130" i="2"/>
  <c r="H110" i="1"/>
  <c r="L16" i="3"/>
  <c r="J44" i="1"/>
  <c r="H37"/>
  <c r="L37"/>
  <c r="I150"/>
  <c r="H55" i="2"/>
  <c r="C1793" i="5"/>
  <c r="H6" i="7"/>
  <c r="C1582" i="5"/>
  <c r="C2005"/>
  <c r="F15" i="7"/>
  <c r="G27" i="1"/>
  <c r="H77" i="2"/>
  <c r="G42"/>
  <c r="F50"/>
  <c r="I14" i="3"/>
  <c r="H61" i="1"/>
  <c r="H73" i="2"/>
  <c r="G35" i="1"/>
  <c r="F135" i="2"/>
  <c r="H47"/>
  <c r="F34" i="1"/>
  <c r="K13" i="7"/>
  <c r="F51" i="1"/>
  <c r="J116"/>
  <c r="F121"/>
  <c r="F40" i="2"/>
  <c r="F156" i="1"/>
  <c r="G120"/>
  <c r="F162"/>
  <c r="G68"/>
  <c r="G66" i="2"/>
  <c r="F97"/>
  <c r="H22"/>
  <c r="F57"/>
  <c r="J132" i="1"/>
  <c r="H54"/>
  <c r="J120" i="2"/>
  <c r="H52" i="1"/>
  <c r="H36" i="2"/>
  <c r="F119"/>
  <c r="F76"/>
  <c r="G75"/>
  <c r="I153" i="1"/>
  <c r="H130" i="2"/>
  <c r="J127" i="1"/>
  <c r="F78" i="2"/>
  <c r="H63"/>
  <c r="G132" i="1"/>
  <c r="H44"/>
  <c r="L44"/>
  <c r="G79" i="2"/>
  <c r="H160" i="1"/>
  <c r="H24" i="2"/>
  <c r="G139"/>
  <c r="F80"/>
  <c r="J77"/>
  <c r="F105" i="1"/>
  <c r="H42"/>
  <c r="F89" i="2"/>
  <c r="F100"/>
  <c r="F36" i="1"/>
  <c r="G90"/>
  <c r="F128"/>
  <c r="G47"/>
  <c r="H126" i="2"/>
  <c r="J43" i="1"/>
  <c r="K87" i="2"/>
  <c r="L59" i="1"/>
  <c r="L144"/>
  <c r="I67"/>
  <c r="I57"/>
  <c r="G49"/>
  <c r="H14" i="2"/>
  <c r="F133" i="1"/>
  <c r="F15" i="2"/>
  <c r="G104" i="1"/>
  <c r="C1218" i="5"/>
  <c r="C1283"/>
  <c r="C191"/>
  <c r="C1274"/>
  <c r="C1864"/>
  <c r="C1221"/>
  <c r="C1303"/>
  <c r="C1188"/>
  <c r="C1821"/>
  <c r="C1538"/>
  <c r="C1912"/>
  <c r="C1848"/>
  <c r="F52" i="2"/>
  <c r="F29" i="1"/>
  <c r="K29"/>
  <c r="F135"/>
  <c r="I135"/>
  <c r="G150"/>
  <c r="H102" i="2"/>
  <c r="F137"/>
  <c r="C1990" i="5"/>
  <c r="C1941"/>
  <c r="H13" i="6"/>
  <c r="G138" i="1"/>
  <c r="G46"/>
  <c r="F62"/>
  <c r="F76"/>
  <c r="I76"/>
  <c r="C1835" i="5"/>
  <c r="C1635"/>
  <c r="F107" i="2"/>
  <c r="H128" i="1"/>
  <c r="G78"/>
  <c r="I95" i="2"/>
  <c r="C1985" i="5"/>
  <c r="J10" i="7"/>
  <c r="C11" i="3"/>
  <c r="G143" i="1"/>
  <c r="H141" i="2"/>
  <c r="C696" i="5"/>
  <c r="C939"/>
  <c r="C1402"/>
  <c r="C1355"/>
  <c r="C629"/>
  <c r="C1716"/>
  <c r="C1705"/>
  <c r="C1453"/>
  <c r="C1619"/>
  <c r="C751"/>
  <c r="C1276"/>
  <c r="C1547"/>
  <c r="C1803"/>
  <c r="C1929"/>
  <c r="J8" i="7"/>
  <c r="G149" i="1"/>
  <c r="F140" i="2"/>
  <c r="G69" i="1"/>
  <c r="F65"/>
  <c r="I65"/>
  <c r="G72"/>
  <c r="G125" i="2"/>
  <c r="C1967" i="5"/>
  <c r="C1657"/>
  <c r="C1275"/>
  <c r="H8" i="6"/>
  <c r="H134" i="1"/>
  <c r="L134"/>
  <c r="H41" i="2"/>
  <c r="H31" i="1"/>
  <c r="F28" i="2"/>
  <c r="F132" i="1"/>
  <c r="H79"/>
  <c r="F139" i="2"/>
  <c r="C1891" i="5"/>
  <c r="C1724"/>
  <c r="L8" i="3"/>
  <c r="G113" i="1"/>
  <c r="G125"/>
  <c r="F112" i="2"/>
  <c r="H127"/>
  <c r="G58" i="1"/>
  <c r="H142" i="2"/>
  <c r="H48" i="1"/>
  <c r="C1882" i="5"/>
  <c r="C1951"/>
  <c r="C1598"/>
  <c r="L15" i="3"/>
  <c r="H13" i="2"/>
  <c r="G34"/>
  <c r="F41" i="1"/>
  <c r="H89" i="2"/>
  <c r="G8"/>
  <c r="G64" i="1"/>
  <c r="C1750" i="5"/>
  <c r="C1358"/>
  <c r="C1638"/>
  <c r="C1278"/>
  <c r="C1255"/>
  <c r="C579"/>
  <c r="C1394"/>
  <c r="C1665"/>
  <c r="C1429"/>
  <c r="C1506"/>
  <c r="C1649"/>
  <c r="C777"/>
  <c r="C1371"/>
  <c r="C989"/>
  <c r="C997"/>
  <c r="C1956"/>
  <c r="J12" i="6"/>
  <c r="C1438" i="5"/>
  <c r="J8" i="6"/>
  <c r="H130" i="1"/>
  <c r="H81"/>
  <c r="F29" i="2"/>
  <c r="G87" i="1"/>
  <c r="G52" i="2"/>
  <c r="G146" i="1"/>
  <c r="H83"/>
  <c r="C1200" i="5"/>
  <c r="F9" i="3"/>
  <c r="C1895" i="5"/>
  <c r="C1937"/>
  <c r="I8" i="6"/>
  <c r="H8" i="2"/>
  <c r="F159" i="1"/>
  <c r="F39"/>
  <c r="L71"/>
  <c r="C856" i="5"/>
  <c r="J10" i="6"/>
  <c r="C1989" i="5"/>
  <c r="C1873"/>
  <c r="H35" i="2"/>
  <c r="H67"/>
  <c r="H137"/>
  <c r="H25" i="1"/>
  <c r="G31" i="2"/>
  <c r="I34"/>
  <c r="F145" i="1"/>
  <c r="J122"/>
  <c r="G7" i="2"/>
  <c r="L21" i="1"/>
  <c r="C1999" i="5"/>
  <c r="C1969"/>
  <c r="C1976"/>
  <c r="I11" i="7"/>
  <c r="H114" i="2"/>
  <c r="F39"/>
  <c r="F26"/>
  <c r="F132"/>
  <c r="F155" i="1"/>
  <c r="L6" i="6"/>
  <c r="I107" i="2"/>
  <c r="H74" i="1"/>
  <c r="F59" i="2"/>
  <c r="J159" i="1"/>
  <c r="G119"/>
  <c r="G51" i="2"/>
  <c r="L45" i="1"/>
  <c r="G151"/>
  <c r="H121"/>
  <c r="H58"/>
  <c r="I147"/>
  <c r="F71" i="2"/>
  <c r="H67" i="1"/>
  <c r="J43" i="2"/>
  <c r="F63"/>
  <c r="H48"/>
  <c r="F67"/>
  <c r="G43" i="1"/>
  <c r="J105" i="2"/>
  <c r="I117" i="1"/>
  <c r="F110"/>
  <c r="F113"/>
  <c r="H51"/>
  <c r="H44" i="2"/>
  <c r="L74" i="1"/>
  <c r="F119"/>
  <c r="I119"/>
  <c r="I19" i="2"/>
  <c r="L137" i="1"/>
  <c r="M8" i="3"/>
  <c r="F89" i="1"/>
  <c r="I89"/>
  <c r="H122"/>
  <c r="F65" i="2"/>
  <c r="I26"/>
  <c r="J95" i="1"/>
  <c r="G140"/>
  <c r="G54"/>
  <c r="H9" i="2"/>
  <c r="H153" i="1"/>
  <c r="H113"/>
  <c r="G46" i="2"/>
  <c r="H128"/>
  <c r="L162" i="1"/>
  <c r="L55"/>
  <c r="G23" i="2"/>
  <c r="F161" i="1"/>
  <c r="H57"/>
  <c r="G137"/>
  <c r="J93"/>
  <c r="K93"/>
  <c r="I26"/>
  <c r="I32"/>
  <c r="J9" i="2"/>
  <c r="I52"/>
  <c r="G39" i="1"/>
  <c r="H91" i="2"/>
  <c r="J6"/>
  <c r="F143"/>
  <c r="H15"/>
  <c r="F27" i="1"/>
  <c r="F158"/>
  <c r="H43" i="2"/>
  <c r="H66" i="1"/>
  <c r="F124"/>
  <c r="J42" i="2"/>
  <c r="I103" i="1"/>
  <c r="H64" i="2"/>
  <c r="G135" i="1"/>
  <c r="F19" i="2"/>
  <c r="G126" i="1"/>
  <c r="L61"/>
  <c r="H154"/>
  <c r="I14" i="2"/>
  <c r="G21" i="1"/>
  <c r="F25"/>
  <c r="H63"/>
  <c r="K13" i="6"/>
  <c r="K137" i="1"/>
  <c r="C8" i="3"/>
  <c r="F163" i="1"/>
  <c r="G81" i="2"/>
  <c r="H119" i="1"/>
  <c r="J85"/>
  <c r="K78"/>
  <c r="F125" i="2"/>
  <c r="H37"/>
  <c r="F118" i="1"/>
  <c r="I73"/>
  <c r="H136" i="2"/>
  <c r="J75" i="1"/>
  <c r="H148"/>
  <c r="G103" i="2"/>
  <c r="F120" i="1"/>
  <c r="J118"/>
  <c r="L135"/>
  <c r="M137"/>
  <c r="H38"/>
  <c r="I43" i="2"/>
  <c r="I73"/>
  <c r="J138"/>
  <c r="I90" i="1"/>
  <c r="K143" i="2"/>
  <c r="L132" i="1"/>
  <c r="I110"/>
  <c r="J112"/>
  <c r="L130"/>
  <c r="M134"/>
  <c r="F83" i="2"/>
  <c r="H125" i="1"/>
  <c r="H16" i="2"/>
  <c r="H157" i="1"/>
  <c r="L149"/>
  <c r="G62" i="2"/>
  <c r="F84"/>
  <c r="I29" i="1"/>
  <c r="H80" i="2"/>
  <c r="J104" i="1"/>
  <c r="H29"/>
  <c r="F62" i="2"/>
  <c r="F30" i="1"/>
  <c r="F94"/>
  <c r="G142" i="2"/>
  <c r="I125"/>
  <c r="G86"/>
  <c r="G88"/>
  <c r="H132"/>
  <c r="G83" i="1"/>
  <c r="I51"/>
  <c r="J31"/>
  <c r="G44"/>
  <c r="G153"/>
  <c r="F49"/>
  <c r="H51" i="2"/>
  <c r="G61" i="1"/>
  <c r="G42"/>
  <c r="H11" i="2"/>
  <c r="I38"/>
  <c r="G108" i="1"/>
  <c r="G110" i="2"/>
  <c r="F114"/>
  <c r="I30" i="1"/>
  <c r="G118" i="2"/>
  <c r="G63" i="1"/>
  <c r="H155"/>
  <c r="I124" i="2"/>
  <c r="J131"/>
  <c r="I79" i="1"/>
  <c r="H20" i="2"/>
  <c r="L143" i="1"/>
  <c r="H57" i="2"/>
  <c r="G25" i="1"/>
  <c r="H103"/>
  <c r="F142"/>
  <c r="I142"/>
  <c r="G128"/>
  <c r="G70" i="2"/>
  <c r="F123" i="1"/>
  <c r="J107" i="2"/>
  <c r="F66" i="1"/>
  <c r="H104" i="2"/>
  <c r="F24"/>
  <c r="J38" i="1"/>
  <c r="K77"/>
  <c r="G55"/>
  <c r="H112" i="2"/>
  <c r="G32"/>
  <c r="F131" i="1"/>
  <c r="F112"/>
  <c r="L81"/>
  <c r="J21"/>
  <c r="K34"/>
  <c r="J92" i="2"/>
  <c r="I115"/>
  <c r="L86" i="1"/>
  <c r="G107" i="2"/>
  <c r="L103" i="1"/>
  <c r="M86"/>
  <c r="I35" i="2"/>
  <c r="H76" i="1"/>
  <c r="H151"/>
  <c r="H133"/>
  <c r="G66"/>
  <c r="K8" i="6"/>
  <c r="F139" i="1"/>
  <c r="J134" i="2"/>
  <c r="K15" i="6"/>
  <c r="H91" i="1"/>
  <c r="I54" i="2"/>
  <c r="I61" i="1"/>
  <c r="J30" i="2"/>
  <c r="H101" i="1"/>
  <c r="J100"/>
  <c r="I94" i="2"/>
  <c r="H102" i="1"/>
  <c r="H53"/>
  <c r="H58" i="2"/>
  <c r="J94" i="1"/>
  <c r="H100"/>
  <c r="G37"/>
  <c r="H18" i="2"/>
  <c r="I93"/>
  <c r="J153" i="1"/>
  <c r="F58"/>
  <c r="H82"/>
  <c r="G131"/>
  <c r="J155"/>
  <c r="O8" i="3"/>
  <c r="H95" i="1"/>
  <c r="M71"/>
  <c r="K107" i="2"/>
  <c r="M162" i="1"/>
  <c r="L30"/>
  <c r="I42"/>
  <c r="I103" i="2"/>
  <c r="I135"/>
  <c r="I133"/>
  <c r="L34" i="1"/>
  <c r="F95"/>
  <c r="F133" i="2"/>
  <c r="F148" i="1"/>
  <c r="H126"/>
  <c r="J70" i="2"/>
  <c r="H75"/>
  <c r="G92" i="1"/>
  <c r="I132"/>
  <c r="G99"/>
  <c r="J24" i="2"/>
  <c r="G80"/>
  <c r="I120"/>
  <c r="F94"/>
  <c r="J45"/>
  <c r="L129" i="1"/>
  <c r="G75"/>
  <c r="H121" i="2"/>
  <c r="F25"/>
  <c r="G24" i="1"/>
  <c r="F138"/>
  <c r="J29" i="2"/>
  <c r="G123"/>
  <c r="H140" i="1"/>
  <c r="H96" i="2"/>
  <c r="F31"/>
  <c r="H43" i="1"/>
  <c r="I70" i="2"/>
  <c r="G11"/>
  <c r="H82"/>
  <c r="G127"/>
  <c r="H116"/>
  <c r="G105"/>
  <c r="I99"/>
  <c r="J49" i="1"/>
  <c r="G67" i="2"/>
  <c r="G96"/>
  <c r="F117"/>
  <c r="G19"/>
  <c r="F33"/>
  <c r="G110" i="1"/>
  <c r="I92"/>
  <c r="G67"/>
  <c r="H66" i="2"/>
  <c r="H123" i="1"/>
  <c r="F70" i="2"/>
  <c r="I96" i="1"/>
  <c r="L95"/>
  <c r="I39" i="2"/>
  <c r="J129"/>
  <c r="I91"/>
  <c r="K14"/>
  <c r="K129"/>
  <c r="L47" i="1"/>
  <c r="J47" i="2"/>
  <c r="H22" i="1"/>
  <c r="I144" i="2"/>
  <c r="J60" i="1"/>
  <c r="J26"/>
  <c r="I46"/>
  <c r="I143"/>
  <c r="K70" i="2"/>
  <c r="L10" i="3"/>
  <c r="K122" i="1"/>
  <c r="J57"/>
  <c r="J37" i="2"/>
  <c r="L125" i="1"/>
  <c r="I7" i="2"/>
  <c r="L10" i="7"/>
  <c r="J39" i="2"/>
  <c r="M16" i="3"/>
  <c r="K157" i="1"/>
  <c r="J127" i="2"/>
  <c r="K42"/>
  <c r="I12"/>
  <c r="L110" i="1"/>
  <c r="K6" i="2"/>
  <c r="L66" i="1"/>
  <c r="O9" i="3"/>
  <c r="J41" i="2"/>
  <c r="I25" i="1"/>
  <c r="K113"/>
  <c r="L161"/>
  <c r="J152"/>
  <c r="M78"/>
  <c r="M66"/>
  <c r="J76"/>
  <c r="K120" i="2"/>
  <c r="I36"/>
  <c r="I126"/>
  <c r="L13" i="3"/>
  <c r="L11" i="6"/>
  <c r="M13" i="3"/>
  <c r="O17"/>
  <c r="I112" i="1"/>
  <c r="K6" i="6"/>
  <c r="L15" i="7"/>
  <c r="I80" i="2"/>
  <c r="M7" i="7"/>
  <c r="J151" i="1"/>
  <c r="J55" i="2"/>
  <c r="J40" i="1"/>
  <c r="L120"/>
  <c r="H62"/>
  <c r="F48"/>
  <c r="I48"/>
  <c r="H143" i="2"/>
  <c r="F60"/>
  <c r="F64" i="1"/>
  <c r="L128"/>
  <c r="J141" i="2"/>
  <c r="F18"/>
  <c r="G84"/>
  <c r="F102" i="1"/>
  <c r="G29"/>
  <c r="H69"/>
  <c r="I28" i="2"/>
  <c r="K80" i="1"/>
  <c r="F54" i="2"/>
  <c r="L89" i="1"/>
  <c r="H72" i="2"/>
  <c r="H53"/>
  <c r="K129" i="1"/>
  <c r="H45" i="2"/>
  <c r="G127" i="1"/>
  <c r="I40" i="2"/>
  <c r="J16"/>
  <c r="I129" i="1"/>
  <c r="I111" i="2"/>
  <c r="J132"/>
  <c r="M74" i="1"/>
  <c r="J22" i="2"/>
  <c r="J50" i="1"/>
  <c r="L113"/>
  <c r="I69" i="2"/>
  <c r="H33" i="1"/>
  <c r="H64"/>
  <c r="H117"/>
  <c r="G102" i="2"/>
  <c r="F17"/>
  <c r="J65"/>
  <c r="H41" i="1"/>
  <c r="I77"/>
  <c r="I45"/>
  <c r="G124"/>
  <c r="L33"/>
  <c r="G74" i="2"/>
  <c r="J14" i="3"/>
  <c r="F134" i="1"/>
  <c r="L109"/>
  <c r="F82"/>
  <c r="L67"/>
  <c r="G24" i="2"/>
  <c r="F142"/>
  <c r="L76" i="1"/>
  <c r="J129"/>
  <c r="F141"/>
  <c r="H88" i="2"/>
  <c r="F111"/>
  <c r="K155" i="1"/>
  <c r="J82"/>
  <c r="J135" i="2"/>
  <c r="H56" i="1"/>
  <c r="J29"/>
  <c r="J57" i="2"/>
  <c r="K57"/>
  <c r="I109" i="1"/>
  <c r="J63"/>
  <c r="I104" i="2"/>
  <c r="I105" i="1"/>
  <c r="L108"/>
  <c r="L77"/>
  <c r="L58"/>
  <c r="L141"/>
  <c r="K118"/>
  <c r="M76"/>
  <c r="J88" i="2"/>
  <c r="L79" i="1"/>
  <c r="I66"/>
  <c r="K105" i="2"/>
  <c r="F136"/>
  <c r="F47" i="1"/>
  <c r="F126"/>
  <c r="H73"/>
  <c r="L73"/>
  <c r="F71"/>
  <c r="G49" i="2"/>
  <c r="F116" i="1"/>
  <c r="K116"/>
  <c r="F23"/>
  <c r="G41" i="2"/>
  <c r="G79" i="1"/>
  <c r="G59" i="2"/>
  <c r="F72" i="1"/>
  <c r="H10" i="2"/>
  <c r="J52" i="1"/>
  <c r="I101"/>
  <c r="F131" i="2"/>
  <c r="F38"/>
  <c r="J142" i="1"/>
  <c r="H39"/>
  <c r="H93"/>
  <c r="G161"/>
  <c r="G56"/>
  <c r="K139"/>
  <c r="H84" i="2"/>
  <c r="J125"/>
  <c r="H99" i="1"/>
  <c r="H75"/>
  <c r="G117"/>
  <c r="I38"/>
  <c r="K103"/>
  <c r="F21"/>
  <c r="H68" i="2"/>
  <c r="G45" i="1"/>
  <c r="F86"/>
  <c r="J106"/>
  <c r="F70"/>
  <c r="I70"/>
  <c r="J110" i="2"/>
  <c r="J58"/>
  <c r="G139" i="1"/>
  <c r="F61" i="2"/>
  <c r="G58"/>
  <c r="K132" i="1"/>
  <c r="K48"/>
  <c r="F140"/>
  <c r="K140"/>
  <c r="J112" i="2"/>
  <c r="I20" i="1"/>
  <c r="I124"/>
  <c r="L27"/>
  <c r="I118"/>
  <c r="I162"/>
  <c r="I30" i="2"/>
  <c r="J83" i="1"/>
  <c r="K135" i="2"/>
  <c r="I47"/>
  <c r="L64" i="1"/>
  <c r="F136"/>
  <c r="I136"/>
  <c r="K67"/>
  <c r="J28" i="2"/>
  <c r="K138" i="1"/>
  <c r="K126"/>
  <c r="K16" i="2"/>
  <c r="K58"/>
  <c r="J87" i="1"/>
  <c r="M108"/>
  <c r="L11" i="3"/>
  <c r="K49" i="1"/>
  <c r="M89"/>
  <c r="M59"/>
  <c r="M96"/>
  <c r="J13" i="3"/>
  <c r="J63" i="2"/>
  <c r="K143" i="1"/>
  <c r="M113"/>
  <c r="I86"/>
  <c r="L116"/>
  <c r="K162"/>
  <c r="J18" i="2"/>
  <c r="I85"/>
  <c r="K64" i="1"/>
  <c r="J126"/>
  <c r="M129"/>
  <c r="M116"/>
  <c r="J143"/>
  <c r="J137" i="2"/>
  <c r="J126"/>
  <c r="K50" i="1"/>
  <c r="M33"/>
  <c r="K121"/>
  <c r="I58" i="2"/>
  <c r="K52" i="1"/>
  <c r="K88" i="2"/>
  <c r="K115" i="1"/>
  <c r="J82" i="2"/>
  <c r="K45"/>
  <c r="I94" i="1"/>
  <c r="I51" i="2"/>
  <c r="J100"/>
  <c r="I100" i="1"/>
  <c r="L9" i="7"/>
  <c r="O13" i="3"/>
  <c r="J26" i="2"/>
  <c r="J35" i="1"/>
  <c r="I50"/>
  <c r="J89"/>
  <c r="I21"/>
  <c r="I134"/>
  <c r="I88" i="2"/>
  <c r="M9" i="3"/>
  <c r="K147" i="1"/>
  <c r="J35" i="2"/>
  <c r="J58" i="1"/>
  <c r="L94"/>
  <c r="I10" i="2"/>
  <c r="L127" i="1"/>
  <c r="L126"/>
  <c r="O15" i="3"/>
  <c r="I24" i="2"/>
  <c r="J107" i="1"/>
  <c r="L15" i="6"/>
  <c r="I12" i="7"/>
  <c r="J40" i="2"/>
  <c r="M161" i="1"/>
  <c r="I36"/>
  <c r="I18" i="2"/>
  <c r="J103"/>
  <c r="J123" i="1"/>
  <c r="I141" i="2"/>
  <c r="O16" i="3"/>
  <c r="J146" i="1"/>
  <c r="K10" i="7"/>
  <c r="F160" i="1"/>
  <c r="G104" i="2"/>
  <c r="I131"/>
  <c r="F68" i="1"/>
  <c r="F125"/>
  <c r="G26"/>
  <c r="H113" i="2"/>
  <c r="G57" i="1"/>
  <c r="J119"/>
  <c r="J51"/>
  <c r="H118"/>
  <c r="H139" i="2"/>
  <c r="L104" i="1"/>
  <c r="F16" i="2"/>
  <c r="F97" i="1"/>
  <c r="F84"/>
  <c r="K84"/>
  <c r="H60"/>
  <c r="J118" i="2"/>
  <c r="F81"/>
  <c r="J11" i="3"/>
  <c r="K11"/>
  <c r="J119" i="2"/>
  <c r="K119"/>
  <c r="I77"/>
  <c r="H131" i="1"/>
  <c r="J108" i="2"/>
  <c r="I143"/>
  <c r="I161" i="1"/>
  <c r="L62"/>
  <c r="K145"/>
  <c r="K99" i="2"/>
  <c r="J158" i="1"/>
  <c r="J67"/>
  <c r="I52"/>
  <c r="I130"/>
  <c r="H105" i="2"/>
  <c r="H62"/>
  <c r="I74"/>
  <c r="H111" i="1"/>
  <c r="L111"/>
  <c r="G144" i="2"/>
  <c r="F10"/>
  <c r="G38" i="1"/>
  <c r="G80"/>
  <c r="K135"/>
  <c r="F108"/>
  <c r="H118" i="2"/>
  <c r="I100"/>
  <c r="I85" i="1"/>
  <c r="I104"/>
  <c r="G27" i="2"/>
  <c r="H158" i="1"/>
  <c r="L158"/>
  <c r="G65"/>
  <c r="G88"/>
  <c r="F149"/>
  <c r="I149"/>
  <c r="H101" i="2"/>
  <c r="J20"/>
  <c r="K20"/>
  <c r="J130"/>
  <c r="F98" i="1"/>
  <c r="I98"/>
  <c r="G57" i="2"/>
  <c r="J78" i="1"/>
  <c r="G36" i="2"/>
  <c r="L87" i="1"/>
  <c r="I128" i="2"/>
  <c r="I54" i="1"/>
  <c r="I21" i="2"/>
  <c r="K120" i="1"/>
  <c r="F49" i="2"/>
  <c r="L138" i="1"/>
  <c r="I145"/>
  <c r="J65"/>
  <c r="J108"/>
  <c r="L155"/>
  <c r="J84"/>
  <c r="J49" i="2"/>
  <c r="K49"/>
  <c r="J109" i="1"/>
  <c r="L153"/>
  <c r="M24"/>
  <c r="G28"/>
  <c r="F88"/>
  <c r="F79" i="2"/>
  <c r="F20"/>
  <c r="J140" i="1"/>
  <c r="F43"/>
  <c r="F6" i="2"/>
  <c r="I98"/>
  <c r="F33" i="1"/>
  <c r="J139"/>
  <c r="G91"/>
  <c r="I106" i="2"/>
  <c r="I134"/>
  <c r="H65" i="1"/>
  <c r="L65"/>
  <c r="F83"/>
  <c r="K83"/>
  <c r="H49" i="2"/>
  <c r="G95" i="1"/>
  <c r="F129" i="2"/>
  <c r="L85" i="1"/>
  <c r="H152"/>
  <c r="F59"/>
  <c r="H78" i="2"/>
  <c r="J46"/>
  <c r="K46"/>
  <c r="H23"/>
  <c r="H90" i="1"/>
  <c r="L90"/>
  <c r="H40"/>
  <c r="J144" i="2"/>
  <c r="H114" i="1"/>
  <c r="F21" i="2"/>
  <c r="H32" i="1"/>
  <c r="L32"/>
  <c r="J36" i="2"/>
  <c r="J60"/>
  <c r="J69"/>
  <c r="F42"/>
  <c r="G130" i="1"/>
  <c r="I41"/>
  <c r="J59" i="2"/>
  <c r="J56" i="1"/>
  <c r="F24"/>
  <c r="H80"/>
  <c r="J91"/>
  <c r="J46"/>
  <c r="F109" i="2"/>
  <c r="J123"/>
  <c r="I78"/>
  <c r="L60" i="1"/>
  <c r="K76"/>
  <c r="I148"/>
  <c r="M49"/>
  <c r="I105" i="2"/>
  <c r="J21"/>
  <c r="K21"/>
  <c r="K25" i="1"/>
  <c r="L38"/>
  <c r="I158"/>
  <c r="J32"/>
  <c r="J31" i="2"/>
  <c r="K125" i="1"/>
  <c r="I160"/>
  <c r="I9" i="2"/>
  <c r="I155" i="1"/>
  <c r="I15" i="2"/>
  <c r="I111" i="1"/>
  <c r="K134" i="2"/>
  <c r="K108" i="1"/>
  <c r="M34"/>
  <c r="K85"/>
  <c r="J66" i="2"/>
  <c r="K66"/>
  <c r="K112"/>
  <c r="M84" i="1"/>
  <c r="K141" i="2"/>
  <c r="I117"/>
  <c r="M79" i="1"/>
  <c r="M144"/>
  <c r="J44" i="2"/>
  <c r="I55"/>
  <c r="I48"/>
  <c r="I64" i="1"/>
  <c r="L99"/>
  <c r="I23" i="2"/>
  <c r="J121" i="1"/>
  <c r="I6" i="2"/>
  <c r="I137"/>
  <c r="K29"/>
  <c r="J144" i="1"/>
  <c r="K39" i="2"/>
  <c r="J95"/>
  <c r="I113" i="1"/>
  <c r="K59" i="2"/>
  <c r="I146" i="1"/>
  <c r="J13" i="2"/>
  <c r="J76"/>
  <c r="O12" i="3"/>
  <c r="J20" i="1"/>
  <c r="M10" i="7"/>
  <c r="K71" i="1"/>
  <c r="M44"/>
  <c r="J70"/>
  <c r="K128" i="2"/>
  <c r="L12" i="3"/>
  <c r="M45" i="1"/>
  <c r="K40"/>
  <c r="I79" i="2"/>
  <c r="M158" i="1"/>
  <c r="I139" i="2"/>
  <c r="L63" i="1"/>
  <c r="L154"/>
  <c r="J80" i="2"/>
  <c r="J97"/>
  <c r="I116" i="1"/>
  <c r="M65"/>
  <c r="I61" i="2"/>
  <c r="J115"/>
  <c r="I13" i="3"/>
  <c r="J122" i="2"/>
  <c r="M81" i="1"/>
  <c r="J111"/>
  <c r="J116" i="2"/>
  <c r="J78"/>
  <c r="J90" i="1"/>
  <c r="J75" i="2"/>
  <c r="I39" i="1"/>
  <c r="K150"/>
  <c r="L159"/>
  <c r="I141"/>
  <c r="L88"/>
  <c r="K60"/>
  <c r="K51"/>
  <c r="J68" i="2"/>
  <c r="K68"/>
  <c r="L157" i="1"/>
  <c r="I63" i="2"/>
  <c r="L35" i="1"/>
  <c r="J142" i="2"/>
  <c r="K62" i="1"/>
  <c r="J74" i="2"/>
  <c r="J163" i="1"/>
  <c r="I31"/>
  <c r="K146"/>
  <c r="M143"/>
  <c r="L117"/>
  <c r="K132" i="2"/>
  <c r="M126" i="1"/>
  <c r="M12" i="3"/>
  <c r="I125" i="1"/>
  <c r="J101"/>
  <c r="L8" i="6"/>
  <c r="L13"/>
  <c r="M127" i="1"/>
  <c r="M10" i="3"/>
  <c r="K47" i="2"/>
  <c r="J71" i="1"/>
  <c r="I6" i="6"/>
  <c r="K122" i="2"/>
  <c r="K37"/>
  <c r="I11"/>
  <c r="L12" i="7"/>
  <c r="F22" i="1"/>
  <c r="F95" i="2"/>
  <c r="G84" i="1"/>
  <c r="K100"/>
  <c r="H107"/>
  <c r="H50"/>
  <c r="H71" i="2"/>
  <c r="I114"/>
  <c r="F63" i="1"/>
  <c r="G95" i="2"/>
  <c r="G83"/>
  <c r="L54" i="1"/>
  <c r="G141"/>
  <c r="K12" i="7"/>
  <c r="L26" i="1"/>
  <c r="G22" i="2"/>
  <c r="G54"/>
  <c r="G142" i="1"/>
  <c r="I92" i="2"/>
  <c r="G140"/>
  <c r="J55" i="1"/>
  <c r="G76"/>
  <c r="J10" i="2"/>
  <c r="J96"/>
  <c r="K96"/>
  <c r="F154" i="1"/>
  <c r="H150"/>
  <c r="G55" i="2"/>
  <c r="K41" i="1"/>
  <c r="I37" i="2"/>
  <c r="M120" i="1"/>
  <c r="K55"/>
  <c r="I121"/>
  <c r="L150"/>
  <c r="L146"/>
  <c r="M61"/>
  <c r="I60"/>
  <c r="F102" i="2"/>
  <c r="F106" i="1"/>
  <c r="G70"/>
  <c r="F56"/>
  <c r="K56"/>
  <c r="J125"/>
  <c r="H122" i="2"/>
  <c r="F28" i="1"/>
  <c r="F123" i="2"/>
  <c r="M163" i="1"/>
  <c r="F74"/>
  <c r="I74"/>
  <c r="G119" i="2"/>
  <c r="G76"/>
  <c r="J11"/>
  <c r="H106" i="1"/>
  <c r="L106"/>
  <c r="G143" i="2"/>
  <c r="H105" i="1"/>
  <c r="G37" i="2"/>
  <c r="H32"/>
  <c r="F99" i="1"/>
  <c r="I99"/>
  <c r="F144"/>
  <c r="I144"/>
  <c r="G82"/>
  <c r="G71" i="2"/>
  <c r="G30"/>
  <c r="G114" i="1"/>
  <c r="F69"/>
  <c r="J74"/>
  <c r="J138"/>
  <c r="G62"/>
  <c r="J135"/>
  <c r="L31"/>
  <c r="G163"/>
  <c r="H25" i="2"/>
  <c r="G96" i="1"/>
  <c r="K87"/>
  <c r="I93"/>
  <c r="G112"/>
  <c r="I122" i="2"/>
  <c r="I90"/>
  <c r="G41" i="1"/>
  <c r="J15" i="2"/>
  <c r="K30"/>
  <c r="K128" i="1"/>
  <c r="J27"/>
  <c r="J28"/>
  <c r="K98"/>
  <c r="L97"/>
  <c r="K119"/>
  <c r="K130"/>
  <c r="J109" i="2"/>
  <c r="K109"/>
  <c r="K58" i="1"/>
  <c r="K11" i="2"/>
  <c r="M67" i="1"/>
  <c r="I22"/>
  <c r="I62" i="2"/>
  <c r="I13" i="6"/>
  <c r="G94" i="1"/>
  <c r="F126" i="2"/>
  <c r="F81" i="1"/>
  <c r="H156"/>
  <c r="G45" i="2"/>
  <c r="F75" i="1"/>
  <c r="F104" i="2"/>
  <c r="J71"/>
  <c r="G33" i="1"/>
  <c r="J140" i="2"/>
  <c r="K140"/>
  <c r="G65"/>
  <c r="J133"/>
  <c r="K133"/>
  <c r="J104"/>
  <c r="K104"/>
  <c r="I119"/>
  <c r="F107" i="1"/>
  <c r="G12" i="2"/>
  <c r="J139"/>
  <c r="K139"/>
  <c r="G98" i="1"/>
  <c r="F151"/>
  <c r="F122" i="2"/>
  <c r="H20" i="1"/>
  <c r="L20"/>
  <c r="J81" i="2"/>
  <c r="K81"/>
  <c r="J54"/>
  <c r="J23" i="1"/>
  <c r="G155"/>
  <c r="I140" i="2"/>
  <c r="G74" i="1"/>
  <c r="H115"/>
  <c r="F127"/>
  <c r="K10" i="6"/>
  <c r="I83" i="2"/>
  <c r="I8"/>
  <c r="I50"/>
  <c r="H147" i="1"/>
  <c r="F7" i="2"/>
  <c r="H92" i="1"/>
  <c r="L92"/>
  <c r="H97" i="2"/>
  <c r="G159" i="1"/>
  <c r="H56" i="2"/>
  <c r="L156" i="1"/>
  <c r="G111" i="2"/>
  <c r="L23" i="1"/>
  <c r="G59"/>
  <c r="J99"/>
  <c r="F134" i="2"/>
  <c r="L112" i="1"/>
  <c r="K144"/>
  <c r="L121"/>
  <c r="F118" i="2"/>
  <c r="G50" i="1"/>
  <c r="K45"/>
  <c r="K99"/>
  <c r="I139"/>
  <c r="I132" i="2"/>
  <c r="K73" i="1"/>
  <c r="K54"/>
  <c r="I62"/>
  <c r="M138"/>
  <c r="I156"/>
  <c r="I137"/>
  <c r="K71" i="2"/>
  <c r="K44" i="1"/>
  <c r="J110"/>
  <c r="K102"/>
  <c r="K118" i="2"/>
  <c r="J22" i="1"/>
  <c r="J48"/>
  <c r="L101"/>
  <c r="F114"/>
  <c r="J149"/>
  <c r="I89" i="2"/>
  <c r="K77"/>
  <c r="M128" i="1"/>
  <c r="L80"/>
  <c r="I133"/>
  <c r="J19" i="2"/>
  <c r="K19"/>
  <c r="L93" i="1"/>
  <c r="I138" i="2"/>
  <c r="K15" i="7"/>
  <c r="L139" i="1"/>
  <c r="I80"/>
  <c r="I33" i="2"/>
  <c r="L70" i="1"/>
  <c r="J120"/>
  <c r="I13" i="2"/>
  <c r="K156" i="1"/>
  <c r="M112"/>
  <c r="I123"/>
  <c r="L102"/>
  <c r="I101" i="2"/>
  <c r="I17" i="3"/>
  <c r="M6" i="6"/>
  <c r="J48" i="2"/>
  <c r="I20"/>
  <c r="J161" i="1"/>
  <c r="K31" i="2"/>
  <c r="M95" i="1"/>
  <c r="J124" i="2"/>
  <c r="J73"/>
  <c r="I157" i="1"/>
  <c r="J42"/>
  <c r="J98" i="2"/>
  <c r="I84" i="1"/>
  <c r="M55"/>
  <c r="K47"/>
  <c r="M153"/>
  <c r="K9" i="7"/>
  <c r="L147" i="1"/>
  <c r="I72"/>
  <c r="J67" i="2"/>
  <c r="I131" i="1"/>
  <c r="K149"/>
  <c r="L83"/>
  <c r="K90"/>
  <c r="L145"/>
  <c r="I82" i="2"/>
  <c r="I64"/>
  <c r="J64" i="1"/>
  <c r="I86" i="2"/>
  <c r="M135" i="1"/>
  <c r="I127" i="2"/>
  <c r="J83"/>
  <c r="I76"/>
  <c r="J77" i="1"/>
  <c r="J53"/>
  <c r="M62"/>
  <c r="M80"/>
  <c r="K64" i="2"/>
  <c r="I95" i="1"/>
  <c r="I122"/>
  <c r="M47"/>
  <c r="L28"/>
  <c r="K163"/>
  <c r="J114"/>
  <c r="J10" i="3"/>
  <c r="K26" i="1"/>
  <c r="L72"/>
  <c r="I66" i="2"/>
  <c r="I10" i="7"/>
  <c r="J157" i="1"/>
  <c r="M159"/>
  <c r="J93" i="2"/>
  <c r="K93"/>
  <c r="J51"/>
  <c r="I45"/>
  <c r="I34" i="1"/>
  <c r="I40"/>
  <c r="J56" i="2"/>
  <c r="M110" i="1"/>
  <c r="I136" i="2"/>
  <c r="J9" i="3"/>
  <c r="M90" i="1"/>
  <c r="I163"/>
  <c r="I33"/>
  <c r="I49" i="2"/>
  <c r="J33"/>
  <c r="J12" i="3"/>
  <c r="I9"/>
  <c r="I7" i="6"/>
  <c r="L25" i="1"/>
  <c r="I55"/>
  <c r="I113" i="2"/>
  <c r="I112"/>
  <c r="L14" i="6"/>
  <c r="J12" i="2"/>
  <c r="I56" i="1"/>
  <c r="J154"/>
  <c r="L91"/>
  <c r="M13" i="6"/>
  <c r="M88" i="1"/>
  <c r="I96" i="2"/>
  <c r="K67"/>
  <c r="L98" i="1"/>
  <c r="M99"/>
  <c r="I123" i="2"/>
  <c r="L124" i="1"/>
  <c r="M106"/>
  <c r="M125"/>
  <c r="I60" i="2"/>
  <c r="I118"/>
  <c r="K98"/>
  <c r="J25"/>
  <c r="M58" i="1"/>
  <c r="K136"/>
  <c r="M11" i="6"/>
  <c r="I10"/>
  <c r="J27" i="2"/>
  <c r="J16" i="3"/>
  <c r="J81" i="1"/>
  <c r="J85" i="2"/>
  <c r="J62" i="1"/>
  <c r="J41"/>
  <c r="J128"/>
  <c r="J131"/>
  <c r="J8" i="2"/>
  <c r="J72" i="1"/>
  <c r="K22"/>
  <c r="M87"/>
  <c r="J117" i="2"/>
  <c r="J113"/>
  <c r="I75"/>
  <c r="K92" i="1"/>
  <c r="K124"/>
  <c r="J136"/>
  <c r="J39"/>
  <c r="I116" i="2"/>
  <c r="I56"/>
  <c r="K96" i="1"/>
  <c r="M60"/>
  <c r="J115"/>
  <c r="K154"/>
  <c r="M14" i="6"/>
  <c r="K138" i="2"/>
  <c r="K112" i="1"/>
  <c r="M101"/>
  <c r="K92" i="2"/>
  <c r="J53"/>
  <c r="K43"/>
  <c r="L17" i="3"/>
  <c r="L142" i="1"/>
  <c r="I29" i="2"/>
  <c r="I59"/>
  <c r="I72"/>
  <c r="I127" i="1"/>
  <c r="M15" i="3"/>
  <c r="K39" i="1"/>
  <c r="J117"/>
  <c r="M20"/>
  <c r="L131"/>
  <c r="M130"/>
  <c r="M132"/>
  <c r="J130"/>
  <c r="I97"/>
  <c r="I142" i="2"/>
  <c r="L42" i="1"/>
  <c r="M149"/>
  <c r="I17" i="2"/>
  <c r="I130"/>
  <c r="J25" i="1"/>
  <c r="J121" i="2"/>
  <c r="J114"/>
  <c r="K114"/>
  <c r="J68" i="1"/>
  <c r="J101" i="2"/>
  <c r="I27"/>
  <c r="M9" i="6"/>
  <c r="J156" i="1"/>
  <c r="M150"/>
  <c r="M12" i="6"/>
  <c r="K10" i="3"/>
  <c r="I128" i="1"/>
  <c r="K35"/>
  <c r="J162"/>
  <c r="K14" i="3"/>
  <c r="K115" i="2"/>
  <c r="J7"/>
  <c r="J89"/>
  <c r="K42" i="1"/>
  <c r="M117"/>
  <c r="M85"/>
  <c r="M147"/>
  <c r="J147"/>
  <c r="M9" i="7"/>
  <c r="K53" i="1"/>
  <c r="L148"/>
  <c r="K82" i="2"/>
  <c r="J145" i="1"/>
  <c r="L57"/>
  <c r="I16" i="3"/>
  <c r="I81" i="2"/>
  <c r="I68"/>
  <c r="K101"/>
  <c r="K51"/>
  <c r="K100"/>
  <c r="I152" i="1"/>
  <c r="J52" i="2"/>
  <c r="I129"/>
  <c r="J79"/>
  <c r="J62"/>
  <c r="J88" i="1"/>
  <c r="I53" i="2"/>
  <c r="J38"/>
  <c r="J33" i="1"/>
  <c r="M30"/>
  <c r="K88"/>
  <c r="J97"/>
  <c r="J86" i="2"/>
  <c r="K61" i="1"/>
  <c r="J30"/>
  <c r="K86"/>
  <c r="I140"/>
  <c r="M102"/>
  <c r="M124"/>
  <c r="K44" i="2"/>
  <c r="K148" i="1"/>
  <c r="M157"/>
  <c r="J17" i="3"/>
  <c r="M11"/>
  <c r="M63" i="1"/>
  <c r="K123"/>
  <c r="M93"/>
  <c r="I12" i="3"/>
  <c r="O11"/>
  <c r="I22" i="2"/>
  <c r="I27" i="1"/>
  <c r="K65"/>
  <c r="J133"/>
  <c r="I25" i="2"/>
  <c r="I88" i="1"/>
  <c r="K97"/>
  <c r="I121" i="2"/>
  <c r="K101" i="1"/>
  <c r="K30"/>
  <c r="J102" i="2"/>
  <c r="M64" i="1"/>
  <c r="K91"/>
  <c r="M111"/>
  <c r="M91"/>
  <c r="M21"/>
  <c r="K121" i="2"/>
  <c r="M70" i="1"/>
  <c r="O14" i="3"/>
  <c r="I6" i="7"/>
  <c r="J23" i="2"/>
  <c r="K43" i="1"/>
  <c r="J92"/>
  <c r="K57"/>
  <c r="M27"/>
  <c r="M15" i="7"/>
  <c r="L13"/>
  <c r="J94" i="2"/>
  <c r="M15" i="6"/>
  <c r="M35" i="1"/>
  <c r="J124"/>
  <c r="K109"/>
  <c r="I57" i="2"/>
  <c r="K20" i="1"/>
  <c r="I43"/>
  <c r="I83"/>
  <c r="M121"/>
  <c r="M148"/>
  <c r="M155"/>
  <c r="J137"/>
  <c r="M28"/>
  <c r="L48"/>
  <c r="L10" i="6"/>
  <c r="K27" i="1"/>
  <c r="I16" i="2"/>
  <c r="M141" i="1"/>
  <c r="M98"/>
  <c r="L69"/>
  <c r="M103"/>
  <c r="M25"/>
  <c r="J8" i="3"/>
  <c r="J134" i="1"/>
  <c r="K32"/>
  <c r="M145"/>
  <c r="M10" i="6"/>
  <c r="K7"/>
  <c r="K116" i="2"/>
  <c r="K80"/>
  <c r="K78"/>
  <c r="K18"/>
  <c r="L100" i="1"/>
  <c r="L122"/>
  <c r="K17" i="3"/>
  <c r="K9"/>
  <c r="K137" i="2"/>
  <c r="K127" i="1"/>
  <c r="I49"/>
  <c r="L52"/>
  <c r="K55" i="2"/>
  <c r="K35"/>
  <c r="K13"/>
  <c r="K60"/>
  <c r="K31" i="1"/>
  <c r="L68"/>
  <c r="K142" i="2"/>
  <c r="I9" i="7"/>
  <c r="M100" i="1"/>
  <c r="K76" i="2"/>
  <c r="I47" i="1"/>
  <c r="K131"/>
  <c r="K94" i="2"/>
  <c r="K33"/>
  <c r="K97"/>
  <c r="K70" i="1"/>
  <c r="L152"/>
  <c r="L51"/>
  <c r="L8" i="7"/>
  <c r="K40" i="2"/>
  <c r="K53"/>
  <c r="K21" i="1"/>
  <c r="K9" i="2"/>
  <c r="I35" i="1"/>
  <c r="K56" i="2"/>
  <c r="K48"/>
  <c r="L36" i="1"/>
  <c r="M52"/>
  <c r="K89" i="2"/>
  <c r="K126"/>
  <c r="L115" i="1"/>
  <c r="I120"/>
  <c r="L14" i="7"/>
  <c r="K7" i="2"/>
  <c r="K26"/>
  <c r="L22" i="1"/>
  <c r="L43"/>
  <c r="K89"/>
  <c r="K9" i="6"/>
  <c r="K12" i="3"/>
  <c r="K83" i="2"/>
  <c r="K28"/>
  <c r="L118" i="1"/>
  <c r="K103" i="2"/>
  <c r="K73"/>
  <c r="I102" i="1"/>
  <c r="I12" i="6"/>
  <c r="M14" i="7"/>
  <c r="M51" i="1"/>
  <c r="M36"/>
  <c r="K13" i="3"/>
  <c r="K74" i="1"/>
  <c r="K14" i="6"/>
  <c r="K12" i="2"/>
  <c r="K74"/>
  <c r="K127"/>
  <c r="K36"/>
  <c r="K108"/>
  <c r="L6" i="7"/>
  <c r="K25" i="2"/>
  <c r="K75"/>
  <c r="K63"/>
  <c r="L39" i="1"/>
  <c r="L160"/>
  <c r="K113" i="2"/>
  <c r="K22"/>
  <c r="K11" i="7"/>
  <c r="M152" i="1"/>
  <c r="M8" i="7"/>
  <c r="J32" i="2"/>
  <c r="K32"/>
  <c r="J113" i="1"/>
  <c r="I46" i="2"/>
  <c r="K46" i="1"/>
  <c r="M37"/>
  <c r="J61" i="2"/>
  <c r="K61"/>
  <c r="I102"/>
  <c r="K38" i="1"/>
  <c r="I41" i="2"/>
  <c r="J150" i="1"/>
  <c r="K104"/>
  <c r="I159"/>
  <c r="I67" i="2"/>
  <c r="K153" i="1"/>
  <c r="J102"/>
  <c r="I44" i="2"/>
  <c r="K161" i="1"/>
  <c r="J98"/>
  <c r="J111" i="2"/>
  <c r="K111"/>
  <c r="M109" i="1"/>
  <c r="J72" i="2"/>
  <c r="K72"/>
  <c r="K82" i="1"/>
  <c r="M77"/>
  <c r="M73"/>
  <c r="I23"/>
  <c r="K23"/>
  <c r="I84" i="2"/>
  <c r="J24" i="1"/>
  <c r="J61"/>
  <c r="M94"/>
  <c r="K79"/>
  <c r="J79"/>
  <c r="J34" i="2"/>
  <c r="K34"/>
  <c r="K68" i="1"/>
  <c r="K105"/>
  <c r="J105"/>
  <c r="M104"/>
  <c r="J148"/>
  <c r="J59"/>
  <c r="J73"/>
  <c r="K133"/>
  <c r="J17" i="2"/>
  <c r="K17"/>
  <c r="J84"/>
  <c r="J66" i="1"/>
  <c r="K66"/>
  <c r="K111"/>
  <c r="K59"/>
  <c r="M32"/>
  <c r="K117"/>
  <c r="K24"/>
  <c r="J86"/>
  <c r="M38"/>
  <c r="J106" i="2"/>
  <c r="K106"/>
  <c r="M154" i="1"/>
  <c r="M8" i="6"/>
  <c r="M12" i="7"/>
  <c r="J50" i="2"/>
  <c r="K50"/>
  <c r="I71"/>
  <c r="I63" i="1"/>
  <c r="K63"/>
  <c r="M54"/>
  <c r="M26"/>
  <c r="J69"/>
  <c r="K37"/>
  <c r="J37"/>
  <c r="J91" i="2"/>
  <c r="K91"/>
  <c r="J160" i="1"/>
  <c r="K160"/>
  <c r="M146"/>
  <c r="K106"/>
  <c r="J90" i="2"/>
  <c r="K28" i="1"/>
  <c r="I28"/>
  <c r="J45"/>
  <c r="I32" i="2"/>
  <c r="K69" i="1"/>
  <c r="I69"/>
  <c r="M31"/>
  <c r="M97"/>
  <c r="I81"/>
  <c r="K75"/>
  <c r="J54"/>
  <c r="J136" i="2"/>
  <c r="K136"/>
  <c r="J141" i="1"/>
  <c r="K141"/>
  <c r="K110"/>
  <c r="I107"/>
  <c r="K107"/>
  <c r="K151"/>
  <c r="M92"/>
  <c r="I97" i="2"/>
  <c r="M156" i="1"/>
  <c r="M23"/>
  <c r="J96"/>
  <c r="K36"/>
  <c r="J36"/>
  <c r="K114"/>
  <c r="I114"/>
  <c r="M139"/>
  <c r="M83"/>
  <c r="M72"/>
  <c r="M17" i="3"/>
  <c r="M142" i="1"/>
  <c r="M131"/>
  <c r="M42"/>
  <c r="M57"/>
  <c r="M13" i="7"/>
  <c r="M48" i="1"/>
  <c r="M69"/>
  <c r="M122"/>
  <c r="M68"/>
  <c r="M115"/>
  <c r="M22"/>
  <c r="M43"/>
  <c r="M118"/>
  <c r="M6" i="7"/>
  <c r="M39" i="1"/>
  <c r="M160"/>
  <c r="P14" i="3"/>
  <c r="P11"/>
  <c r="P12"/>
  <c r="P16"/>
  <c r="P15"/>
  <c r="P13"/>
  <c r="P17"/>
  <c r="P9"/>
  <c r="P8"/>
  <c r="P10"/>
  <c r="N160" i="1"/>
  <c r="N39"/>
  <c r="N6" i="7"/>
  <c r="N118" i="1"/>
  <c r="N43"/>
  <c r="N22"/>
  <c r="N14" i="7"/>
  <c r="N115" i="1"/>
  <c r="N36"/>
  <c r="N8" i="7"/>
  <c r="N51" i="1"/>
  <c r="N152"/>
  <c r="N68"/>
  <c r="N52"/>
  <c r="N122"/>
  <c r="N100"/>
  <c r="N69"/>
  <c r="N10" i="6"/>
  <c r="N48" i="1"/>
  <c r="N13" i="7"/>
  <c r="N57" i="1"/>
  <c r="N148"/>
  <c r="N42"/>
  <c r="N131"/>
  <c r="N142"/>
  <c r="N17" i="3"/>
  <c r="N124" i="1"/>
  <c r="N98"/>
  <c r="N91"/>
  <c r="N14" i="6"/>
  <c r="N25" i="1"/>
  <c r="N72"/>
  <c r="N28"/>
  <c r="N145"/>
  <c r="N83"/>
  <c r="N147"/>
  <c r="N102"/>
  <c r="N70"/>
  <c r="N139"/>
  <c r="N93"/>
  <c r="N80"/>
  <c r="N101"/>
  <c r="D36"/>
  <c r="N121"/>
  <c r="N112"/>
  <c r="D96"/>
  <c r="N23"/>
  <c r="N156"/>
  <c r="L56" i="2"/>
  <c r="L97"/>
  <c r="N92" i="1"/>
  <c r="D86" i="2"/>
  <c r="N20" i="1"/>
  <c r="D110"/>
  <c r="D141"/>
  <c r="D136" i="2"/>
  <c r="D54" i="1"/>
  <c r="D97"/>
  <c r="D51" i="2"/>
  <c r="N97" i="1"/>
  <c r="D89" i="2"/>
  <c r="L25"/>
  <c r="N31" i="1"/>
  <c r="D22"/>
  <c r="L32" i="2"/>
  <c r="N106" i="1"/>
  <c r="D134"/>
  <c r="D45"/>
  <c r="L122" i="2"/>
  <c r="D90"/>
  <c r="N146" i="1"/>
  <c r="N150"/>
  <c r="D130"/>
  <c r="D160"/>
  <c r="D91" i="2"/>
  <c r="D37" i="1"/>
  <c r="D69"/>
  <c r="N26"/>
  <c r="N54"/>
  <c r="L71" i="2"/>
  <c r="D56"/>
  <c r="D50"/>
  <c r="N12" i="7"/>
  <c r="N13" i="6"/>
  <c r="N8"/>
  <c r="N117" i="1"/>
  <c r="N35"/>
  <c r="N157"/>
  <c r="N88"/>
  <c r="N159"/>
  <c r="N154"/>
  <c r="N63"/>
  <c r="N12" i="3"/>
  <c r="N99" i="1"/>
  <c r="D106" i="2"/>
  <c r="N38" i="1"/>
  <c r="N60"/>
  <c r="D86"/>
  <c r="D102" i="2"/>
  <c r="D117" i="1"/>
  <c r="N32"/>
  <c r="D39"/>
  <c r="N90"/>
  <c r="L23" i="2"/>
  <c r="L78"/>
  <c r="N85" i="1"/>
  <c r="D92"/>
  <c r="L49" i="2"/>
  <c r="N65" i="1"/>
  <c r="D32"/>
  <c r="N153"/>
  <c r="N155"/>
  <c r="N138"/>
  <c r="D163"/>
  <c r="N87"/>
  <c r="D111"/>
  <c r="D66"/>
  <c r="D84" i="2"/>
  <c r="D53" i="1"/>
  <c r="D17" i="2"/>
  <c r="L101"/>
  <c r="N158" i="1"/>
  <c r="D72"/>
  <c r="D33"/>
  <c r="D133"/>
  <c r="L118" i="2"/>
  <c r="D73" i="1"/>
  <c r="N111"/>
  <c r="D128"/>
  <c r="D59"/>
  <c r="L62" i="2"/>
  <c r="L105"/>
  <c r="N62" i="1"/>
  <c r="D96" i="2"/>
  <c r="D98"/>
  <c r="D148" i="1"/>
  <c r="N104"/>
  <c r="L139" i="2"/>
  <c r="D105" i="1"/>
  <c r="L113" i="2"/>
  <c r="D62"/>
  <c r="D34"/>
  <c r="D79" i="1"/>
  <c r="D20" i="2"/>
  <c r="D119" i="1"/>
  <c r="N15" i="6"/>
  <c r="N126" i="1"/>
  <c r="N127"/>
  <c r="N94"/>
  <c r="N9" i="7"/>
  <c r="N116" i="1"/>
  <c r="N11" i="3"/>
  <c r="N64" i="1"/>
  <c r="N27"/>
  <c r="D107"/>
  <c r="D93" i="2"/>
  <c r="D76"/>
  <c r="D103"/>
  <c r="L68"/>
  <c r="D61" i="1"/>
  <c r="D24"/>
  <c r="L84" i="2"/>
  <c r="D136" i="1"/>
  <c r="L10" i="2"/>
  <c r="D35" i="1"/>
  <c r="D97" i="2"/>
  <c r="N73" i="1"/>
  <c r="N79"/>
  <c r="N141"/>
  <c r="D117" i="2"/>
  <c r="N58" i="1"/>
  <c r="N77"/>
  <c r="N108"/>
  <c r="D83"/>
  <c r="D122" i="2"/>
  <c r="D63" i="1"/>
  <c r="D143"/>
  <c r="D40" i="2"/>
  <c r="L88"/>
  <c r="N76" i="1"/>
  <c r="D121" i="2"/>
  <c r="N67" i="1"/>
  <c r="D72" i="2"/>
  <c r="N109" i="1"/>
  <c r="N33"/>
  <c r="D42"/>
  <c r="D48" i="2"/>
  <c r="N113" i="1"/>
  <c r="L45" i="2"/>
  <c r="L53"/>
  <c r="D111"/>
  <c r="L72"/>
  <c r="N89" i="1"/>
  <c r="D156"/>
  <c r="D90"/>
  <c r="D98"/>
  <c r="N128"/>
  <c r="D85" i="2"/>
  <c r="L143"/>
  <c r="D145" i="1"/>
  <c r="D81" i="2"/>
  <c r="D161" i="1"/>
  <c r="N120"/>
  <c r="N15" i="7"/>
  <c r="N11" i="6"/>
  <c r="N13" i="3"/>
  <c r="N161" i="1"/>
  <c r="N66"/>
  <c r="N110"/>
  <c r="D154"/>
  <c r="N10" i="7"/>
  <c r="N125" i="1"/>
  <c r="N10" i="3"/>
  <c r="N47" i="1"/>
  <c r="D146"/>
  <c r="N95"/>
  <c r="D115"/>
  <c r="L66" i="2"/>
  <c r="D76" i="1"/>
  <c r="D12" i="2"/>
  <c r="D124"/>
  <c r="D30" i="1"/>
  <c r="D57"/>
  <c r="L116" i="2"/>
  <c r="L82"/>
  <c r="D101" i="1"/>
  <c r="L96" i="2"/>
  <c r="D40" i="1"/>
  <c r="D129" i="2"/>
  <c r="D124" i="1"/>
  <c r="L121" i="2"/>
  <c r="N129" i="1"/>
  <c r="L75" i="2"/>
  <c r="D66"/>
  <c r="D144"/>
  <c r="D113"/>
  <c r="N34" i="1"/>
  <c r="N30"/>
  <c r="D26"/>
  <c r="D115" i="2"/>
  <c r="D41"/>
  <c r="D25"/>
  <c r="D27" i="1"/>
  <c r="L18" i="2"/>
  <c r="D55"/>
  <c r="L58"/>
  <c r="D28"/>
  <c r="D38"/>
  <c r="D91" i="1"/>
  <c r="D120"/>
  <c r="N103"/>
  <c r="N86"/>
  <c r="N81"/>
  <c r="D41"/>
  <c r="L112" i="2"/>
  <c r="D77" i="1"/>
  <c r="L104" i="2"/>
  <c r="D88" i="1"/>
  <c r="D65"/>
  <c r="L57" i="2"/>
  <c r="N143" i="1"/>
  <c r="L20" i="2"/>
  <c r="D33"/>
  <c r="D126"/>
  <c r="D25" i="1"/>
  <c r="L11" i="2"/>
  <c r="D20" i="1"/>
  <c r="L51" i="2"/>
  <c r="L132"/>
  <c r="D8"/>
  <c r="D131"/>
  <c r="D131" i="1"/>
  <c r="L80" i="2"/>
  <c r="D149" i="1"/>
  <c r="N149"/>
  <c r="L16" i="2"/>
  <c r="N130" i="1"/>
  <c r="N132"/>
  <c r="N135"/>
  <c r="L136" i="2"/>
  <c r="L37"/>
  <c r="D60" i="1"/>
  <c r="D73" i="2"/>
  <c r="D147" i="1"/>
  <c r="D8" i="3"/>
  <c r="D138" i="1"/>
  <c r="D62"/>
  <c r="D121"/>
  <c r="N61"/>
  <c r="D130" i="2"/>
  <c r="D94"/>
  <c r="D23"/>
  <c r="L64"/>
  <c r="D78"/>
  <c r="D144" i="1"/>
  <c r="L43" i="2"/>
  <c r="L15"/>
  <c r="D108" i="1"/>
  <c r="L91" i="2"/>
  <c r="D109"/>
  <c r="D58" i="1"/>
  <c r="N55"/>
  <c r="N162"/>
  <c r="L128" i="2"/>
  <c r="D26"/>
  <c r="L9"/>
  <c r="D37"/>
  <c r="D82"/>
  <c r="N137" i="1"/>
  <c r="D53" i="2"/>
  <c r="N74" i="1"/>
  <c r="L44" i="2"/>
  <c r="D102" i="1"/>
  <c r="D138" i="2"/>
  <c r="D31" i="1"/>
  <c r="L48" i="2"/>
  <c r="D21"/>
  <c r="N45" i="1"/>
  <c r="D11" i="2"/>
  <c r="D135"/>
  <c r="D137"/>
  <c r="N6" i="6"/>
  <c r="L114" i="2"/>
  <c r="D153" i="1"/>
  <c r="D1976" i="5"/>
  <c r="D1969"/>
  <c r="D1999"/>
  <c r="N21" i="1"/>
  <c r="L137" i="2"/>
  <c r="D100" i="1"/>
  <c r="L67" i="2"/>
  <c r="L35"/>
  <c r="D1873" i="5"/>
  <c r="D1989"/>
  <c r="D856"/>
  <c r="N71" i="1"/>
  <c r="D123"/>
  <c r="L8" i="2"/>
  <c r="D67" i="1"/>
  <c r="D104"/>
  <c r="D1937" i="5"/>
  <c r="D1895"/>
  <c r="D1200"/>
  <c r="D1438"/>
  <c r="D1956"/>
  <c r="D997"/>
  <c r="D989"/>
  <c r="D1371"/>
  <c r="D777"/>
  <c r="D1649"/>
  <c r="D1506"/>
  <c r="D1429"/>
  <c r="D1665"/>
  <c r="D1394"/>
  <c r="D579"/>
  <c r="D1255"/>
  <c r="D1278"/>
  <c r="D1638"/>
  <c r="D1358"/>
  <c r="D1750"/>
  <c r="L89" i="2"/>
  <c r="L13"/>
  <c r="N15" i="3"/>
  <c r="D1598" i="5"/>
  <c r="D1951"/>
  <c r="D1882"/>
  <c r="L142" i="2"/>
  <c r="D93" i="1"/>
  <c r="L127" i="2"/>
  <c r="D135" i="1"/>
  <c r="D51"/>
  <c r="N8" i="3"/>
  <c r="D1724" i="5"/>
  <c r="D1891"/>
  <c r="D150" i="1"/>
  <c r="L41" i="2"/>
  <c r="N134" i="1"/>
  <c r="D1275" i="5"/>
  <c r="D1657"/>
  <c r="D1967"/>
  <c r="D140" i="2"/>
  <c r="D94" i="1"/>
  <c r="D1929" i="5"/>
  <c r="D1803"/>
  <c r="D1547"/>
  <c r="D1276"/>
  <c r="D751"/>
  <c r="D1619"/>
  <c r="D1453"/>
  <c r="D1705"/>
  <c r="D1716"/>
  <c r="D629"/>
  <c r="D1355"/>
  <c r="D1402"/>
  <c r="D939"/>
  <c r="D696"/>
  <c r="L141" i="2"/>
  <c r="D38" i="1"/>
  <c r="D142" i="2"/>
  <c r="D11" i="3"/>
  <c r="D1985" i="5"/>
  <c r="D134" i="2"/>
  <c r="D105"/>
  <c r="D60"/>
  <c r="D52" i="1"/>
  <c r="D1635" i="5"/>
  <c r="D1835"/>
  <c r="D68" i="1"/>
  <c r="D24" i="2"/>
  <c r="D1941" i="5"/>
  <c r="D1990"/>
  <c r="L102" i="2"/>
  <c r="D1848" i="5"/>
  <c r="D1912"/>
  <c r="D1538"/>
  <c r="D1821"/>
  <c r="D1188"/>
  <c r="D1303"/>
  <c r="D1221"/>
  <c r="D1864"/>
  <c r="D1274"/>
  <c r="D191"/>
  <c r="D1283"/>
  <c r="D1218"/>
  <c r="D61" i="2"/>
  <c r="D64" i="1"/>
  <c r="D79" i="2"/>
  <c r="L14"/>
  <c r="N144" i="1"/>
  <c r="N59"/>
  <c r="L126" i="2"/>
  <c r="D80"/>
  <c r="D35"/>
  <c r="L24"/>
  <c r="N44" i="1"/>
  <c r="D67" i="2"/>
  <c r="L63"/>
  <c r="D55" i="1"/>
  <c r="L130" i="2"/>
  <c r="L36"/>
  <c r="L22"/>
  <c r="D19"/>
  <c r="D77"/>
  <c r="L47"/>
  <c r="D75"/>
  <c r="D155" i="1"/>
  <c r="D106"/>
  <c r="L73" i="2"/>
  <c r="L77"/>
  <c r="D2005" i="5"/>
  <c r="D1582"/>
  <c r="D1793"/>
  <c r="D114" i="2"/>
  <c r="D6"/>
  <c r="L55"/>
  <c r="D133"/>
  <c r="N37" i="1"/>
  <c r="N16" i="3"/>
  <c r="D100" i="2"/>
  <c r="D1987" i="5"/>
  <c r="D1369"/>
  <c r="D119" i="2"/>
  <c r="D142" i="1"/>
  <c r="L120" i="2"/>
  <c r="D46" i="1"/>
  <c r="D1887" i="5"/>
  <c r="D1271"/>
  <c r="D1823"/>
  <c r="D127" i="1"/>
  <c r="L46" i="2"/>
  <c r="L6"/>
  <c r="D2001" i="5"/>
  <c r="D1919"/>
  <c r="D1485"/>
  <c r="D805"/>
  <c r="D849"/>
  <c r="D1288"/>
  <c r="D1950"/>
  <c r="D1444"/>
  <c r="D1250"/>
  <c r="D1966"/>
  <c r="D1460"/>
  <c r="D1039"/>
  <c r="D1302"/>
  <c r="D1061"/>
  <c r="D1228"/>
  <c r="D1426"/>
  <c r="D1732"/>
  <c r="D746"/>
  <c r="D43" i="2"/>
  <c r="D104"/>
  <c r="D30"/>
  <c r="L79"/>
  <c r="D1879" i="5"/>
  <c r="D1898"/>
  <c r="D68" i="2"/>
  <c r="L40"/>
  <c r="L54"/>
  <c r="D59"/>
  <c r="D1908" i="5"/>
  <c r="D1815"/>
  <c r="D945"/>
  <c r="D56" i="1"/>
  <c r="N96"/>
  <c r="D109"/>
  <c r="N9" i="3"/>
  <c r="D2004" i="5"/>
  <c r="D1307"/>
  <c r="D1432"/>
  <c r="L33" i="2"/>
  <c r="N49" i="1"/>
  <c r="D152"/>
  <c r="D1404" i="5"/>
  <c r="D1870"/>
  <c r="D1688"/>
  <c r="D715"/>
  <c r="D1299"/>
  <c r="D1673"/>
  <c r="D1700"/>
  <c r="D1314"/>
  <c r="D929"/>
  <c r="D1445"/>
  <c r="D1296"/>
  <c r="D713"/>
  <c r="D1629"/>
  <c r="D1502"/>
  <c r="D1603"/>
  <c r="L134" i="2"/>
  <c r="D140" i="1"/>
  <c r="L99" i="2"/>
  <c r="D71"/>
  <c r="D22"/>
  <c r="D17" i="3"/>
  <c r="D125" i="1"/>
  <c r="D113"/>
  <c r="D1922" i="5"/>
  <c r="D1905"/>
  <c r="D1681"/>
  <c r="D1690"/>
  <c r="D1309"/>
  <c r="D834"/>
  <c r="D1709"/>
  <c r="D925"/>
  <c r="D1195"/>
  <c r="D927"/>
  <c r="D1121"/>
  <c r="D1321"/>
  <c r="D888"/>
  <c r="D54" i="2"/>
  <c r="D50" i="1"/>
  <c r="D158"/>
  <c r="D58" i="2"/>
  <c r="D81" i="1"/>
  <c r="L27" i="2"/>
  <c r="D101"/>
  <c r="L86"/>
  <c r="D74"/>
  <c r="D28" i="1"/>
  <c r="L144" i="2"/>
  <c r="L123"/>
  <c r="D132"/>
  <c r="D157" i="1"/>
  <c r="N78"/>
  <c r="D162"/>
  <c r="N46"/>
  <c r="D114"/>
  <c r="L138" i="2"/>
  <c r="N84" i="1"/>
  <c r="L74" i="2"/>
  <c r="D49"/>
  <c r="D99" i="1"/>
  <c r="L131" i="2"/>
  <c r="D1923" i="5"/>
  <c r="D13" i="3"/>
  <c r="D1997" i="5"/>
  <c r="D48" i="1"/>
  <c r="D9" i="2"/>
  <c r="L93"/>
  <c r="L39"/>
  <c r="D2002" i="5"/>
  <c r="D1974"/>
  <c r="D1762"/>
  <c r="L106" i="2"/>
  <c r="L26"/>
  <c r="D15"/>
  <c r="D1807" i="5"/>
  <c r="D1756"/>
  <c r="D1944"/>
  <c r="L124" i="2"/>
  <c r="D78" i="1"/>
  <c r="L129" i="2"/>
  <c r="D1996" i="5"/>
  <c r="D1904"/>
  <c r="D1211"/>
  <c r="D1176"/>
  <c r="D1312"/>
  <c r="D986"/>
  <c r="D1852"/>
  <c r="D1262"/>
  <c r="D1376"/>
  <c r="D1868"/>
  <c r="D1058"/>
  <c r="D1224"/>
  <c r="D1566"/>
  <c r="D1549"/>
  <c r="D896"/>
  <c r="D808"/>
  <c r="D1135"/>
  <c r="D1579"/>
  <c r="D29" i="2"/>
  <c r="L52"/>
  <c r="D1811" i="5"/>
  <c r="D1942"/>
  <c r="D1074"/>
  <c r="D120" i="2"/>
  <c r="D1860" i="5"/>
  <c r="D1982"/>
  <c r="L108" i="2"/>
  <c r="D126" i="1"/>
  <c r="D159"/>
  <c r="D1994" i="5"/>
  <c r="D1801"/>
  <c r="D34" i="1"/>
  <c r="D122"/>
  <c r="D27" i="2"/>
  <c r="D52"/>
  <c r="D1948" i="5"/>
  <c r="D1436"/>
  <c r="D1921"/>
  <c r="D1463"/>
  <c r="D1137"/>
  <c r="D1113"/>
  <c r="D913"/>
  <c r="D1144"/>
  <c r="D1981"/>
  <c r="D1320"/>
  <c r="D1558"/>
  <c r="D970"/>
  <c r="D1201"/>
  <c r="D1881"/>
  <c r="D43" i="1"/>
  <c r="N9" i="6"/>
  <c r="D1844" i="5"/>
  <c r="D1468"/>
  <c r="D1487"/>
  <c r="D47" i="1"/>
  <c r="D108" i="2"/>
  <c r="D46"/>
  <c r="D141"/>
  <c r="L87"/>
  <c r="D1385" i="5"/>
  <c r="D1587"/>
  <c r="D1731"/>
  <c r="D10" i="2"/>
  <c r="D89" i="1"/>
  <c r="D12" i="3"/>
  <c r="D1906" i="5"/>
  <c r="D1779"/>
  <c r="D1425"/>
  <c r="D7" i="2"/>
  <c r="D70"/>
  <c r="L98"/>
  <c r="D1993" i="5"/>
  <c r="D1968"/>
  <c r="D1719"/>
  <c r="D1556"/>
  <c r="D1573"/>
  <c r="D1179"/>
  <c r="D596"/>
  <c r="D1478"/>
  <c r="D1703"/>
  <c r="D1551"/>
  <c r="D1097"/>
  <c r="D1669"/>
  <c r="D112" i="1"/>
  <c r="D151"/>
  <c r="D69" i="2"/>
  <c r="D47"/>
  <c r="L59"/>
  <c r="L117"/>
  <c r="D71" i="1"/>
  <c r="L115" i="2"/>
  <c r="D63"/>
  <c r="D95"/>
  <c r="D16"/>
  <c r="D18"/>
  <c r="N24" i="1"/>
  <c r="L125" i="2"/>
  <c r="L60"/>
  <c r="D85" i="1"/>
  <c r="D127" i="2"/>
  <c r="D44"/>
  <c r="L103"/>
  <c r="D1878" i="5"/>
  <c r="D1980"/>
  <c r="D116" i="2"/>
  <c r="D128"/>
  <c r="D75" i="1"/>
  <c r="L34" i="2"/>
  <c r="D13"/>
  <c r="D14" i="3"/>
  <c r="D1959" i="5"/>
  <c r="D1812"/>
  <c r="D1772"/>
  <c r="D84" i="1"/>
  <c r="D16" i="3"/>
  <c r="D1988" i="5"/>
  <c r="D1955"/>
  <c r="L61" i="2"/>
  <c r="D64"/>
  <c r="D1839" i="5"/>
  <c r="D1340"/>
  <c r="D1819"/>
  <c r="D714"/>
  <c r="D1574"/>
  <c r="D1086"/>
  <c r="D1418"/>
  <c r="D1711"/>
  <c r="D1073"/>
  <c r="D1539"/>
  <c r="D1723"/>
  <c r="D890"/>
  <c r="D918"/>
  <c r="D728"/>
  <c r="D1240"/>
  <c r="D1375"/>
  <c r="D1177"/>
  <c r="D977"/>
  <c r="D139" i="1"/>
  <c r="L76" i="2"/>
  <c r="D82" i="1"/>
  <c r="D1796" i="5"/>
  <c r="D9" i="3"/>
  <c r="D1791" i="5"/>
  <c r="L81" i="2"/>
  <c r="D1826" i="5"/>
  <c r="D1507"/>
  <c r="D1880"/>
  <c r="D132" i="1"/>
  <c r="L65" i="2"/>
  <c r="D15" i="3"/>
  <c r="D1899" i="5"/>
  <c r="D1877"/>
  <c r="D1865"/>
  <c r="D118" i="1"/>
  <c r="L30" i="2"/>
  <c r="D31"/>
  <c r="L92"/>
  <c r="N7" i="7"/>
  <c r="D1249" i="5"/>
  <c r="D1567"/>
  <c r="D1759"/>
  <c r="D1965"/>
  <c r="D1632"/>
  <c r="D1651"/>
  <c r="D1469"/>
  <c r="D1978"/>
  <c r="D1070"/>
  <c r="D1311"/>
  <c r="D1317"/>
  <c r="D1159"/>
  <c r="L111" i="2"/>
  <c r="D1475" i="5"/>
  <c r="D1998"/>
  <c r="D107" i="2"/>
  <c r="D1785" i="5"/>
  <c r="D1612"/>
  <c r="L28" i="2"/>
  <c r="L140"/>
  <c r="L42"/>
  <c r="D2003" i="5"/>
  <c r="D1913"/>
  <c r="L109" i="2"/>
  <c r="D753" i="5"/>
  <c r="D1512"/>
  <c r="D1001"/>
  <c r="D1462"/>
  <c r="D682"/>
  <c r="D1337"/>
  <c r="D981"/>
  <c r="D28"/>
  <c r="D1751"/>
  <c r="D1351"/>
  <c r="D1962"/>
  <c r="D1884"/>
  <c r="D906"/>
  <c r="D1505"/>
  <c r="D1362"/>
  <c r="D1761"/>
  <c r="D1656"/>
  <c r="D1095"/>
  <c r="D1019"/>
  <c r="D1672"/>
  <c r="D623"/>
  <c r="D23"/>
  <c r="D809"/>
  <c r="D1272"/>
  <c r="D1631"/>
  <c r="D1075"/>
  <c r="D1519"/>
  <c r="D42" i="2"/>
  <c r="D92"/>
  <c r="D1780" i="5"/>
  <c r="D1934"/>
  <c r="D1764"/>
  <c r="L70" i="2"/>
  <c r="D116" i="1"/>
  <c r="L17" i="2"/>
  <c r="D87" i="1"/>
  <c r="N12" i="6"/>
  <c r="D1660" i="5"/>
  <c r="D1722"/>
  <c r="D1972"/>
  <c r="L107" i="2"/>
  <c r="D137" i="1"/>
  <c r="L19" i="2"/>
  <c r="D1834" i="5"/>
  <c r="D1963"/>
  <c r="D21" i="1"/>
  <c r="L50" i="2"/>
  <c r="L29"/>
  <c r="D80" i="1"/>
  <c r="L90" i="2"/>
  <c r="D1794" i="5"/>
  <c r="D1760"/>
  <c r="D857"/>
  <c r="D1154"/>
  <c r="D1488"/>
  <c r="D1786"/>
  <c r="D773"/>
  <c r="D1155"/>
  <c r="D1802"/>
  <c r="D837"/>
  <c r="D741"/>
  <c r="D1489"/>
  <c r="D1346"/>
  <c r="D1753"/>
  <c r="D1435"/>
  <c r="D1916"/>
  <c r="D1570"/>
  <c r="L133" i="2"/>
  <c r="D123"/>
  <c r="D1454" i="5"/>
  <c r="D1875"/>
  <c r="D1832"/>
  <c r="L12" i="2"/>
  <c r="L135"/>
  <c r="D1843" i="5"/>
  <c r="D1388"/>
  <c r="D103" i="1"/>
  <c r="L85" i="2"/>
  <c r="D1831" i="5"/>
  <c r="D1353"/>
  <c r="D29" i="1"/>
  <c r="L110" i="2"/>
  <c r="D44" i="1"/>
  <c r="D1971" i="5"/>
  <c r="D1781"/>
  <c r="D1757"/>
  <c r="D1363"/>
  <c r="D744"/>
  <c r="D1251"/>
  <c r="D1920"/>
  <c r="D1515"/>
  <c r="D951"/>
  <c r="D1936"/>
  <c r="D1531"/>
  <c r="D1042"/>
  <c r="D1496"/>
  <c r="D1172"/>
  <c r="D770"/>
  <c r="D1150"/>
  <c r="D1792"/>
  <c r="D1047"/>
  <c r="D1664"/>
  <c r="D1100"/>
  <c r="D936"/>
  <c r="D794"/>
  <c r="D1133"/>
  <c r="D1393"/>
  <c r="D1744"/>
  <c r="D1687"/>
  <c r="D1927"/>
  <c r="D1409"/>
  <c r="D1752"/>
  <c r="D905"/>
  <c r="D560"/>
  <c r="D1009"/>
  <c r="D1191"/>
  <c r="D1443"/>
  <c r="D1099"/>
  <c r="D1141"/>
  <c r="D976"/>
  <c r="D1984"/>
  <c r="D1089"/>
  <c r="D851"/>
  <c r="D1729"/>
  <c r="D2000"/>
  <c r="D1105"/>
  <c r="D698"/>
  <c r="D296"/>
  <c r="D1740"/>
  <c r="D1516"/>
  <c r="D1986"/>
  <c r="D1854"/>
  <c r="D1185"/>
  <c r="D907"/>
  <c r="D1301"/>
  <c r="D897"/>
  <c r="D1079"/>
  <c r="D1298"/>
  <c r="D1561"/>
  <c r="D952"/>
  <c r="D810"/>
  <c r="D1181"/>
  <c r="D1593"/>
  <c r="D968"/>
  <c r="D1777"/>
  <c r="D319"/>
  <c r="D1827"/>
  <c r="D1918"/>
  <c r="D1246"/>
  <c r="D1031"/>
  <c r="D1381"/>
  <c r="D961"/>
  <c r="D1143"/>
  <c r="D1379"/>
  <c r="D1738"/>
  <c r="D1645"/>
  <c r="D800"/>
  <c r="D1754"/>
  <c r="D1661"/>
  <c r="D948"/>
  <c r="D577"/>
  <c r="D1149"/>
  <c r="D278"/>
  <c r="D1316"/>
  <c r="D1057"/>
  <c r="D1897"/>
  <c r="D1535"/>
  <c r="D1118"/>
  <c r="D787"/>
  <c r="D1596"/>
  <c r="D1977"/>
  <c r="D1615"/>
  <c r="D1410"/>
  <c r="D1161"/>
  <c r="D1384"/>
  <c r="D1733"/>
  <c r="D873"/>
  <c r="D1845"/>
  <c r="D861"/>
  <c r="D1093"/>
  <c r="D928"/>
  <c r="D1866"/>
  <c r="D1067"/>
  <c r="D1175"/>
  <c r="D793"/>
  <c r="D1820"/>
  <c r="D1679"/>
  <c r="D1474"/>
  <c r="D1225"/>
  <c r="D1448"/>
  <c r="D1765"/>
  <c r="D937"/>
  <c r="D1930"/>
  <c r="D1016"/>
  <c r="D1367"/>
  <c r="D1995"/>
  <c r="D1032"/>
  <c r="D649"/>
  <c r="D675"/>
  <c r="D328"/>
  <c r="D947"/>
  <c r="D899"/>
  <c r="D1053"/>
  <c r="D1465"/>
  <c r="D904"/>
  <c r="D1743"/>
  <c r="D223"/>
  <c r="D1862"/>
  <c r="D1571"/>
  <c r="D1625"/>
  <c r="D984"/>
  <c r="D591"/>
  <c r="D1245"/>
  <c r="D967"/>
  <c r="D819"/>
  <c r="D1626"/>
  <c r="D1837"/>
  <c r="D1572"/>
  <c r="D1504"/>
  <c r="D813"/>
  <c r="D1853"/>
  <c r="D1588"/>
  <c r="D1171"/>
  <c r="D801"/>
  <c r="D1699"/>
  <c r="D1809"/>
  <c r="D1048"/>
  <c r="D842"/>
  <c r="D1126"/>
  <c r="D1068"/>
  <c r="D817"/>
  <c r="D1721"/>
  <c r="D1327"/>
  <c r="D1442"/>
  <c r="D1349"/>
  <c r="D1345"/>
  <c r="D1332"/>
  <c r="D368"/>
  <c r="D225"/>
  <c r="D599"/>
  <c r="D559"/>
  <c r="D1691"/>
  <c r="D1607"/>
  <c r="D1287"/>
  <c r="D1464"/>
  <c r="D1775"/>
  <c r="D953"/>
  <c r="D1319"/>
  <c r="D1480"/>
  <c r="D1277"/>
  <c r="D1354"/>
  <c r="D1889"/>
  <c r="D1829"/>
  <c r="D1900"/>
  <c r="D1083"/>
  <c r="D1034"/>
  <c r="D1949"/>
  <c r="D1214"/>
  <c r="D1413"/>
  <c r="D1590"/>
  <c r="D1204"/>
  <c r="D1055"/>
  <c r="D1606"/>
  <c r="D1018"/>
  <c r="D112"/>
  <c r="D1778"/>
  <c r="D1147"/>
  <c r="D755"/>
  <c r="D1470"/>
  <c r="D1300"/>
  <c r="D1493"/>
  <c r="D1336"/>
  <c r="D1210"/>
  <c r="D1917"/>
  <c r="D689"/>
  <c r="D758"/>
  <c r="D1252"/>
  <c r="D1386"/>
  <c r="D85"/>
  <c r="D492"/>
  <c r="D15"/>
  <c r="D429"/>
  <c r="D212"/>
  <c r="D233"/>
  <c r="D209"/>
  <c r="D79"/>
  <c r="D496"/>
  <c r="D1532"/>
  <c r="D1459"/>
  <c r="D139" i="2"/>
  <c r="N163" i="1"/>
  <c r="D143" i="2"/>
  <c r="D32"/>
  <c r="D1858" i="5"/>
  <c r="D1734"/>
  <c r="D65" i="2"/>
  <c r="D36"/>
  <c r="D99"/>
  <c r="D83"/>
  <c r="D1926" i="5"/>
  <c r="D1940"/>
  <c r="D1372"/>
  <c r="D49" i="1"/>
  <c r="L100" i="2"/>
  <c r="D14"/>
  <c r="D1953" i="5"/>
  <c r="D1476"/>
  <c r="D921"/>
  <c r="D1263"/>
  <c r="D1294"/>
  <c r="D1817"/>
  <c r="D999"/>
  <c r="D1431"/>
  <c r="D1833"/>
  <c r="D1023"/>
  <c r="D983"/>
  <c r="D1805"/>
  <c r="D1293"/>
  <c r="D1557"/>
  <c r="D1620"/>
  <c r="D1026"/>
  <c r="D1322"/>
  <c r="D1952"/>
  <c r="D1108"/>
  <c r="D1477"/>
  <c r="D1025"/>
  <c r="D1207"/>
  <c r="D704"/>
  <c r="D1850"/>
  <c r="D683"/>
  <c r="D874"/>
  <c r="D1190"/>
  <c r="D1874"/>
  <c r="D747"/>
  <c r="D1456"/>
  <c r="D238"/>
  <c r="D1763"/>
  <c r="D1602"/>
  <c r="D1114"/>
  <c r="D1576"/>
  <c r="D1373"/>
  <c r="D1064"/>
  <c r="D1851"/>
  <c r="D1243"/>
  <c r="D1265"/>
  <c r="D593"/>
  <c r="D1867"/>
  <c r="D1280"/>
  <c r="D1045"/>
  <c r="D991"/>
  <c r="D1924"/>
  <c r="D1667"/>
  <c r="D1947"/>
  <c r="D1359"/>
  <c r="D1134"/>
  <c r="D647"/>
  <c r="D1695"/>
  <c r="D1490"/>
  <c r="D1241"/>
  <c r="D1291"/>
  <c r="D1041"/>
  <c r="D1223"/>
  <c r="D720"/>
  <c r="D1323"/>
  <c r="D1056"/>
  <c r="D1092"/>
  <c r="D916"/>
  <c r="D1787"/>
  <c r="D1423"/>
  <c r="D1198"/>
  <c r="D887"/>
  <c r="D1739"/>
  <c r="D1554"/>
  <c r="D1066"/>
  <c r="D1420"/>
  <c r="D824"/>
  <c r="D1091"/>
  <c r="D1452"/>
  <c r="D840"/>
  <c r="D1427"/>
  <c r="D765"/>
  <c r="D340"/>
  <c r="D669"/>
  <c r="D838"/>
  <c r="D1219"/>
  <c r="D1928"/>
  <c r="D1542"/>
  <c r="D1339"/>
  <c r="D880"/>
  <c r="D114"/>
  <c r="D1401"/>
  <c r="D1622"/>
  <c r="D1419"/>
  <c r="D1335"/>
  <c r="D1377"/>
  <c r="D1736"/>
  <c r="D1671"/>
  <c r="D1417"/>
  <c r="D1528"/>
  <c r="D1325"/>
  <c r="D1017"/>
  <c r="D1449"/>
  <c r="D1544"/>
  <c r="D1341"/>
  <c r="D1674"/>
  <c r="N14" i="3"/>
  <c r="D1914" i="5"/>
  <c r="D1686"/>
  <c r="D1483"/>
  <c r="D1399"/>
  <c r="D1441"/>
  <c r="D1768"/>
  <c r="D1727"/>
  <c r="D1545"/>
  <c r="D1391"/>
  <c r="D717"/>
  <c r="D1830"/>
  <c r="D1407"/>
  <c r="D1392"/>
  <c r="D193"/>
  <c r="D332"/>
  <c r="D546"/>
  <c r="D895"/>
  <c r="D1411"/>
  <c r="D1748"/>
  <c r="D993"/>
  <c r="D875"/>
  <c r="D757"/>
  <c r="D1859"/>
  <c r="D1799"/>
  <c r="D1828"/>
  <c r="D1356"/>
  <c r="D1072"/>
  <c r="D869"/>
  <c r="D768"/>
  <c r="D1163"/>
  <c r="D1205"/>
  <c r="D1040"/>
  <c r="D1822"/>
  <c r="D1153"/>
  <c r="D815"/>
  <c r="D1771"/>
  <c r="D1838"/>
  <c r="D1169"/>
  <c r="D762"/>
  <c r="D557"/>
  <c r="D1892"/>
  <c r="D1484"/>
  <c r="D1136"/>
  <c r="D933"/>
  <c r="D832"/>
  <c r="D1227"/>
  <c r="D1257"/>
  <c r="D779"/>
  <c r="D1886"/>
  <c r="D1707"/>
  <c r="D1193"/>
  <c r="D1902"/>
  <c r="D1720"/>
  <c r="D706"/>
  <c r="D630"/>
  <c r="D182"/>
  <c r="D201"/>
  <c r="D1000"/>
  <c r="D653"/>
  <c r="D1253"/>
  <c r="D1457"/>
  <c r="D1776"/>
  <c r="D1735"/>
  <c r="D1991"/>
  <c r="D1473"/>
  <c r="D1784"/>
  <c r="D969"/>
  <c r="D582"/>
  <c r="D1911"/>
  <c r="D1500"/>
  <c r="D1553"/>
  <c r="D1125"/>
  <c r="D1530"/>
  <c r="D1684"/>
  <c r="D919"/>
  <c r="D1630"/>
  <c r="D1387"/>
  <c r="D1605"/>
  <c r="D1662"/>
  <c r="D1403"/>
  <c r="D724"/>
  <c r="D1628"/>
  <c r="D1617"/>
  <c r="D1189"/>
  <c r="D1610"/>
  <c r="D680"/>
  <c r="D1035"/>
  <c r="D1901"/>
  <c r="D1256"/>
  <c r="D1523"/>
  <c r="D1650"/>
  <c r="D931"/>
  <c r="D229"/>
  <c r="D133"/>
  <c r="D555"/>
  <c r="D716"/>
  <c r="D99"/>
  <c r="D1071"/>
  <c r="D257"/>
  <c r="D231"/>
  <c r="D207"/>
  <c r="D561"/>
  <c r="D493"/>
  <c r="D1747"/>
  <c r="D88" i="2"/>
  <c r="D1564" i="5"/>
  <c r="D1494"/>
  <c r="D110" i="2"/>
  <c r="L119"/>
  <c r="D129" i="1"/>
  <c r="D1641" i="5"/>
  <c r="D1849"/>
  <c r="D57" i="2"/>
  <c r="D1907" i="5"/>
  <c r="D1896"/>
  <c r="D811"/>
  <c r="D95" i="1"/>
  <c r="D87" i="2"/>
  <c r="L95"/>
  <c r="D74" i="1"/>
  <c r="D10" i="3"/>
  <c r="D6" i="5"/>
  <c r="D1683"/>
  <c r="D1408"/>
  <c r="D1318"/>
  <c r="D1077"/>
  <c r="D1244"/>
  <c r="D1455"/>
  <c r="D625"/>
  <c r="D1894"/>
  <c r="D1471"/>
  <c r="D1326"/>
  <c r="D321"/>
  <c r="D1540"/>
  <c r="D985"/>
  <c r="D1088"/>
  <c r="D711"/>
  <c r="D1106"/>
  <c r="D1797"/>
  <c r="D1284"/>
  <c r="D1015"/>
  <c r="D1773"/>
  <c r="D1618"/>
  <c r="D1130"/>
  <c r="D1548"/>
  <c r="D1168"/>
  <c r="D965"/>
  <c r="D677"/>
  <c r="D1580"/>
  <c r="D1184"/>
  <c r="D1220"/>
  <c r="D1044"/>
  <c r="D1766"/>
  <c r="D1611"/>
  <c r="D1527"/>
  <c r="D1569"/>
  <c r="D1364"/>
  <c r="D1297"/>
  <c r="D1842"/>
  <c r="D1270"/>
  <c r="D1517"/>
  <c r="D1208"/>
  <c r="D1861"/>
  <c r="D1286"/>
  <c r="D1533"/>
  <c r="D1541"/>
  <c r="D1529"/>
  <c r="D1876"/>
  <c r="D1970"/>
  <c r="D1366"/>
  <c r="D1613"/>
  <c r="D1059"/>
  <c r="D1702"/>
  <c r="D1499"/>
  <c r="D1415"/>
  <c r="D1486"/>
  <c r="D1273"/>
  <c r="D1634"/>
  <c r="D1146"/>
  <c r="D1518"/>
  <c r="D1289"/>
  <c r="D1586"/>
  <c r="D941"/>
  <c r="D1816"/>
  <c r="D1430"/>
  <c r="D1677"/>
  <c r="D1123"/>
  <c r="D1742"/>
  <c r="D1563"/>
  <c r="D1479"/>
  <c r="D1614"/>
  <c r="D1104"/>
  <c r="D1374"/>
  <c r="D1798"/>
  <c r="D1120"/>
  <c r="D1575"/>
  <c r="D173"/>
  <c r="D227"/>
  <c r="D262"/>
  <c r="D836"/>
  <c r="D1696"/>
  <c r="D1164"/>
  <c r="D1534"/>
  <c r="D712"/>
  <c r="D1447"/>
  <c r="D109"/>
  <c r="D1513"/>
  <c r="D1847"/>
  <c r="D1694"/>
  <c r="D792"/>
  <c r="D1342"/>
  <c r="D1119"/>
  <c r="D619"/>
  <c r="D858"/>
  <c r="D1142"/>
  <c r="D1521"/>
  <c r="D1315"/>
  <c r="D1769"/>
  <c r="D1871"/>
  <c r="D1537"/>
  <c r="D1331"/>
  <c r="D1033"/>
  <c r="D726"/>
  <c r="D1943"/>
  <c r="D1770"/>
  <c r="D645"/>
  <c r="D1406"/>
  <c r="D859"/>
  <c r="D617"/>
  <c r="D922"/>
  <c r="D1292"/>
  <c r="D1654"/>
  <c r="D1166"/>
  <c r="D1062"/>
  <c r="D1670"/>
  <c r="D1237"/>
  <c r="D351"/>
  <c r="D17"/>
  <c r="D943"/>
  <c r="D205"/>
  <c r="D1082"/>
  <c r="D1932"/>
  <c r="D1755"/>
  <c r="D1522"/>
  <c r="D1180"/>
  <c r="D1810"/>
  <c r="D1550"/>
  <c r="D1305"/>
  <c r="D1666"/>
  <c r="D1178"/>
  <c r="D1640"/>
  <c r="D1437"/>
  <c r="D1128"/>
  <c r="D1915"/>
  <c r="D1328"/>
  <c r="D1102"/>
  <c r="D841"/>
  <c r="D1931"/>
  <c r="D1343"/>
  <c r="D1109"/>
  <c r="D621"/>
  <c r="D1678"/>
  <c r="D1368"/>
  <c r="D1725"/>
  <c r="D1242"/>
  <c r="D1704"/>
  <c r="D1501"/>
  <c r="D1192"/>
  <c r="D1979"/>
  <c r="D1217"/>
  <c r="D1623"/>
  <c r="D1804"/>
  <c r="D1233"/>
  <c r="D1098"/>
  <c r="D612"/>
  <c r="D634"/>
  <c r="D125"/>
  <c r="D174"/>
  <c r="D885"/>
  <c r="D784"/>
  <c r="D1938"/>
  <c r="D681"/>
  <c r="D938"/>
  <c r="D1338"/>
  <c r="D1957"/>
  <c r="D745"/>
  <c r="D1520"/>
  <c r="D316"/>
  <c r="D1840"/>
  <c r="D1824"/>
  <c r="D1348"/>
  <c r="D960"/>
  <c r="D1254"/>
  <c r="D1616"/>
  <c r="D1855"/>
  <c r="D760"/>
  <c r="D1304"/>
  <c r="D1903"/>
  <c r="D776"/>
  <c r="D651"/>
  <c r="D1888"/>
  <c r="D1412"/>
  <c r="D1024"/>
  <c r="D1090"/>
  <c r="D1680"/>
  <c r="D1491"/>
  <c r="D1698"/>
  <c r="D723"/>
  <c r="D1652"/>
  <c r="D756"/>
  <c r="D632"/>
  <c r="D551"/>
  <c r="D177"/>
  <c r="D181"/>
  <c r="D497"/>
  <c r="D1621"/>
  <c r="D432"/>
  <c r="D1087"/>
  <c r="D1260"/>
  <c r="D556"/>
  <c r="D1701"/>
  <c r="D687"/>
  <c r="D1885"/>
  <c r="D1248"/>
  <c r="D1433"/>
  <c r="D39" i="2"/>
  <c r="L21"/>
  <c r="L94"/>
  <c r="D1836" i="5"/>
  <c r="D1883"/>
  <c r="D118" i="2"/>
  <c r="L83"/>
  <c r="L69"/>
  <c r="D112"/>
  <c r="D1846" i="5"/>
  <c r="D1939"/>
  <c r="D1910"/>
  <c r="D125" i="2"/>
  <c r="D23" i="1"/>
  <c r="L7" i="2"/>
  <c r="D1825" i="5"/>
  <c r="D1893"/>
  <c r="L31" i="2"/>
  <c r="D45"/>
  <c r="L38"/>
  <c r="D70" i="1"/>
  <c r="D1783" i="5"/>
  <c r="D1935"/>
  <c r="D1818"/>
  <c r="D1127"/>
  <c r="D823"/>
  <c r="D1565"/>
  <c r="D912"/>
  <c r="D1718"/>
  <c r="D1230"/>
  <c r="D1658"/>
  <c r="D1726"/>
  <c r="D1054"/>
  <c r="D530"/>
  <c r="D1138"/>
  <c r="D1472"/>
  <c r="D1382"/>
  <c r="D1552"/>
  <c r="D1526"/>
  <c r="D1813"/>
  <c r="D1290"/>
  <c r="D1187"/>
  <c r="D1774"/>
  <c r="D1627"/>
  <c r="D1543"/>
  <c r="D1730"/>
  <c r="D1400"/>
  <c r="D1741"/>
  <c r="D889"/>
  <c r="D1746"/>
  <c r="D1416"/>
  <c r="D1749"/>
  <c r="D1206"/>
  <c r="D1497"/>
  <c r="D920"/>
  <c r="D778"/>
  <c r="D1117"/>
  <c r="D807"/>
  <c r="D1050"/>
  <c r="D1546"/>
  <c r="D1713"/>
  <c r="D1508"/>
  <c r="D1440"/>
  <c r="D975"/>
  <c r="D1789"/>
  <c r="D1524"/>
  <c r="D1267"/>
  <c r="D1046"/>
  <c r="D1909"/>
  <c r="D1960"/>
  <c r="D1869"/>
  <c r="D1604"/>
  <c r="D1536"/>
  <c r="D962"/>
  <c r="D709"/>
  <c r="D1422"/>
  <c r="D877"/>
  <c r="D1782"/>
  <c r="D1643"/>
  <c r="D1559"/>
  <c r="D1800"/>
  <c r="D1279"/>
  <c r="D1659"/>
  <c r="D1258"/>
  <c r="D513"/>
  <c r="D1814"/>
  <c r="D1933"/>
  <c r="D1668"/>
  <c r="D1600"/>
  <c r="D655"/>
  <c r="D872"/>
  <c r="D730"/>
  <c r="D1005"/>
  <c r="D1398"/>
  <c r="D901"/>
  <c r="D1183"/>
  <c r="D1414"/>
  <c r="D1156"/>
  <c r="D14"/>
  <c r="D178"/>
  <c r="D1052"/>
  <c r="D1395"/>
  <c r="D1140"/>
  <c r="D1509"/>
  <c r="D1808"/>
  <c r="D1122"/>
  <c r="D954"/>
  <c r="D628"/>
  <c r="D1692"/>
  <c r="D1710"/>
  <c r="D1795"/>
  <c r="D1983"/>
  <c r="D1202"/>
  <c r="D1236"/>
  <c r="D1637"/>
  <c r="D1152"/>
  <c r="D949"/>
  <c r="D609"/>
  <c r="D1790"/>
  <c r="D615"/>
  <c r="D1002"/>
  <c r="D1466"/>
  <c r="D1806"/>
  <c r="D679"/>
  <c r="D1648"/>
  <c r="D508"/>
  <c r="D1857"/>
  <c r="D1555"/>
  <c r="D881"/>
  <c r="D1063"/>
  <c r="D1282"/>
  <c r="D1216"/>
  <c r="D1013"/>
  <c r="D848"/>
  <c r="D1689"/>
  <c r="D1451"/>
  <c r="D775"/>
  <c r="D1767"/>
  <c r="D1467"/>
  <c r="D850"/>
  <c r="D310"/>
  <c r="D1434"/>
  <c r="D603"/>
  <c r="D1495"/>
  <c r="D1958"/>
  <c r="D1758"/>
  <c r="D1595"/>
  <c r="D1081"/>
  <c r="D242"/>
  <c r="D1715"/>
  <c r="D1295"/>
  <c r="D1675"/>
  <c r="D1591"/>
  <c r="D1633"/>
  <c r="D1428"/>
  <c r="D1360"/>
  <c r="D1925"/>
  <c r="D1334"/>
  <c r="D1581"/>
  <c r="D1259"/>
  <c r="D1946"/>
  <c r="D1350"/>
  <c r="D1597"/>
  <c r="D1347"/>
  <c r="D1644"/>
  <c r="D1361"/>
  <c r="D1728"/>
  <c r="D1655"/>
  <c r="D1697"/>
  <c r="D1492"/>
  <c r="D1424"/>
  <c r="D911"/>
  <c r="D1647"/>
  <c r="D971"/>
  <c r="D1863"/>
  <c r="D1663"/>
  <c r="D826"/>
  <c r="D535"/>
  <c r="D314"/>
  <c r="D595"/>
  <c r="D1212"/>
  <c r="D1682"/>
  <c r="D1194"/>
  <c r="D1676"/>
  <c r="D1232"/>
  <c r="D1029"/>
  <c r="D864"/>
  <c r="D1708"/>
  <c r="D1247"/>
  <c r="D1111"/>
  <c r="D667"/>
  <c r="D1975"/>
  <c r="D1890"/>
  <c r="D743"/>
  <c r="D1281"/>
  <c r="D1439"/>
  <c r="D1051"/>
  <c r="D891"/>
  <c r="D1170"/>
  <c r="D1310"/>
  <c r="D1992"/>
  <c r="D1186"/>
  <c r="D1511"/>
  <c r="D115"/>
  <c r="D1973"/>
  <c r="D935"/>
  <c r="D1344"/>
  <c r="D1503"/>
  <c r="D1124"/>
  <c r="D1116"/>
  <c r="D1636"/>
  <c r="D1685"/>
  <c r="D1352"/>
  <c r="D1069"/>
  <c r="D324"/>
  <c r="D661"/>
  <c r="D503"/>
  <c r="D511"/>
  <c r="D96"/>
  <c r="D505"/>
  <c r="D255"/>
  <c r="D440"/>
  <c r="D374"/>
  <c r="D575"/>
  <c r="D1264"/>
  <c r="D1841"/>
  <c r="D1481"/>
  <c r="D1560"/>
  <c r="D1357"/>
  <c r="D1049"/>
  <c r="D1446"/>
  <c r="D1693"/>
  <c r="D1139"/>
  <c r="D1945"/>
  <c r="D1583"/>
  <c r="D1378"/>
  <c r="D1129"/>
  <c r="D1961"/>
  <c r="D1599"/>
  <c r="D1266"/>
  <c r="D923"/>
  <c r="D1609"/>
  <c r="D1624"/>
  <c r="D1421"/>
  <c r="D1112"/>
  <c r="D1510"/>
  <c r="D1306"/>
  <c r="D1203"/>
  <c r="D1788"/>
  <c r="D1234"/>
  <c r="D1568"/>
  <c r="D1646"/>
  <c r="D865"/>
  <c r="D1235"/>
  <c r="D995"/>
  <c r="D180"/>
  <c r="D199"/>
  <c r="D498"/>
  <c r="D280"/>
  <c r="D761"/>
  <c r="D769"/>
  <c r="D549"/>
  <c r="D107"/>
  <c r="D722"/>
  <c r="D1060"/>
  <c r="D664"/>
  <c r="D261"/>
  <c r="D789"/>
  <c r="D797"/>
  <c r="D364"/>
  <c r="D688"/>
  <c r="D693"/>
  <c r="D701"/>
  <c r="D268"/>
  <c r="D853"/>
  <c r="D594"/>
  <c r="D350"/>
  <c r="D9"/>
  <c r="D1383"/>
  <c r="D786"/>
  <c r="D13" i="7"/>
  <c r="D9"/>
  <c r="D293" i="5"/>
  <c r="D860"/>
  <c r="D862"/>
  <c r="D404"/>
  <c r="D752"/>
  <c r="D821"/>
  <c r="D829"/>
  <c r="D396"/>
  <c r="D695"/>
  <c r="D703"/>
  <c r="D443"/>
  <c r="D73"/>
  <c r="D521"/>
  <c r="D697"/>
  <c r="D705"/>
  <c r="D517"/>
  <c r="D75"/>
  <c r="D604"/>
  <c r="D607"/>
  <c r="D469"/>
  <c r="D27"/>
  <c r="D29"/>
  <c r="D34"/>
  <c r="D236"/>
  <c r="D1592"/>
  <c r="D1389"/>
  <c r="D1080"/>
  <c r="D1577"/>
  <c r="D1608"/>
  <c r="D1405"/>
  <c r="D1737"/>
  <c r="D87"/>
  <c r="D92"/>
  <c r="D357"/>
  <c r="D924"/>
  <c r="D926"/>
  <c r="D532"/>
  <c r="D52"/>
  <c r="D900"/>
  <c r="D902"/>
  <c r="D484"/>
  <c r="D9" i="6"/>
  <c r="D915" i="5"/>
  <c r="D571"/>
  <c r="D189"/>
  <c r="D914"/>
  <c r="D151"/>
  <c r="D156"/>
  <c r="D389"/>
  <c r="D956"/>
  <c r="D958"/>
  <c r="D302"/>
  <c r="D116"/>
  <c r="D932"/>
  <c r="D934"/>
  <c r="D548"/>
  <c r="D68"/>
  <c r="D979"/>
  <c r="D624"/>
  <c r="D221"/>
  <c r="D1639"/>
  <c r="D978"/>
  <c r="D45"/>
  <c r="D50"/>
  <c r="D258"/>
  <c r="D988"/>
  <c r="D990"/>
  <c r="D426"/>
  <c r="D10"/>
  <c r="D964"/>
  <c r="D966"/>
  <c r="D338"/>
  <c r="D132"/>
  <c r="D1043"/>
  <c r="D656"/>
  <c r="D253"/>
  <c r="D543"/>
  <c r="D879"/>
  <c r="D883"/>
  <c r="D539"/>
  <c r="D169"/>
  <c r="D791"/>
  <c r="D799"/>
  <c r="D491"/>
  <c r="D121"/>
  <c r="D32"/>
  <c r="D35"/>
  <c r="D441"/>
  <c r="D270"/>
  <c r="D606"/>
  <c r="D1101"/>
  <c r="D264"/>
  <c r="D272"/>
  <c r="D558"/>
  <c r="D541"/>
  <c r="D544"/>
  <c r="D104"/>
  <c r="D944"/>
  <c r="D660"/>
  <c r="D662"/>
  <c r="D259"/>
  <c r="D1213"/>
  <c r="D348"/>
  <c r="D356"/>
  <c r="D642"/>
  <c r="D1165"/>
  <c r="D252"/>
  <c r="D260"/>
  <c r="D618"/>
  <c r="D322"/>
  <c r="D336"/>
  <c r="D168"/>
  <c r="D1173"/>
  <c r="D1008"/>
  <c r="D692"/>
  <c r="D694"/>
  <c r="D291"/>
  <c r="D1261"/>
  <c r="D390"/>
  <c r="D394"/>
  <c r="D674"/>
  <c r="D1229"/>
  <c r="D380"/>
  <c r="D388"/>
  <c r="D650"/>
  <c r="D435"/>
  <c r="D438"/>
  <c r="D70"/>
  <c r="D516"/>
  <c r="D36"/>
  <c r="D509"/>
  <c r="D512"/>
  <c r="D72"/>
  <c r="D1578"/>
  <c r="D461"/>
  <c r="D464"/>
  <c r="D24"/>
  <c r="D812"/>
  <c r="D814"/>
  <c r="D232"/>
  <c r="D386"/>
  <c r="D25"/>
  <c r="D732"/>
  <c r="D734"/>
  <c r="D331"/>
  <c r="D1589"/>
  <c r="D708"/>
  <c r="D710"/>
  <c r="D307"/>
  <c r="D1036"/>
  <c r="D1038"/>
  <c r="D522"/>
  <c r="D106"/>
  <c r="D727"/>
  <c r="D735"/>
  <c r="D459"/>
  <c r="D89"/>
  <c r="D764"/>
  <c r="D766"/>
  <c r="D363"/>
  <c r="D1653"/>
  <c r="D740"/>
  <c r="D742"/>
  <c r="D339"/>
  <c r="D635"/>
  <c r="D643"/>
  <c r="D586"/>
  <c r="D170"/>
  <c r="D1107"/>
  <c r="D863"/>
  <c r="D867"/>
  <c r="D523"/>
  <c r="D153"/>
  <c r="D796"/>
  <c r="D798"/>
  <c r="D395"/>
  <c r="D1717"/>
  <c r="D772"/>
  <c r="D774"/>
  <c r="D371"/>
  <c r="D763"/>
  <c r="D771"/>
  <c r="D421"/>
  <c r="D206"/>
  <c r="D254"/>
  <c r="D1020"/>
  <c r="D1022"/>
  <c r="D490"/>
  <c r="D74"/>
  <c r="D996"/>
  <c r="D998"/>
  <c r="D442"/>
  <c r="D26"/>
  <c r="D11" i="7"/>
  <c r="D7"/>
  <c r="D285" i="5"/>
  <c r="D1007"/>
  <c r="D1011"/>
  <c r="D640"/>
  <c r="D237"/>
  <c r="D959"/>
  <c r="D963"/>
  <c r="D616"/>
  <c r="D213"/>
  <c r="D160"/>
  <c r="D163"/>
  <c r="D569"/>
  <c r="D1390"/>
  <c r="D1199"/>
  <c r="D287"/>
  <c r="D289"/>
  <c r="D504"/>
  <c r="D738"/>
  <c r="D1076"/>
  <c r="D672"/>
  <c r="D269"/>
  <c r="D690"/>
  <c r="D1027"/>
  <c r="D648"/>
  <c r="D245"/>
  <c r="D62"/>
  <c r="D65"/>
  <c r="D398"/>
  <c r="D31"/>
  <c r="D783"/>
  <c r="D64"/>
  <c r="D67"/>
  <c r="D473"/>
  <c r="D601"/>
  <c r="D16"/>
  <c r="D19"/>
  <c r="D425"/>
  <c r="D224"/>
  <c r="D228"/>
  <c r="D510"/>
  <c r="D1585"/>
  <c r="D1380"/>
  <c r="D1313"/>
  <c r="D1964"/>
  <c r="D1601"/>
  <c r="D1396"/>
  <c r="D1160"/>
  <c r="D637"/>
  <c r="D353"/>
  <c r="D400"/>
  <c r="D685"/>
  <c r="D39"/>
  <c r="D44"/>
  <c r="D333"/>
  <c r="D818"/>
  <c r="D12" i="6"/>
  <c r="D8"/>
  <c r="D309" i="5"/>
  <c r="D183"/>
  <c r="D185"/>
  <c r="D527"/>
  <c r="D1197"/>
  <c r="D383"/>
  <c r="D385"/>
  <c r="D462"/>
  <c r="D866"/>
  <c r="D103"/>
  <c r="D108"/>
  <c r="D365"/>
  <c r="D749"/>
  <c r="D55"/>
  <c r="D60"/>
  <c r="D341"/>
  <c r="D215"/>
  <c r="D217"/>
  <c r="D282"/>
  <c r="D781"/>
  <c r="D1078"/>
  <c r="D240"/>
  <c r="D244"/>
  <c r="D526"/>
  <c r="D930"/>
  <c r="D167"/>
  <c r="D172"/>
  <c r="D397"/>
  <c r="D882"/>
  <c r="D119"/>
  <c r="D124"/>
  <c r="D373"/>
  <c r="D247"/>
  <c r="D249"/>
  <c r="D424"/>
  <c r="D117"/>
  <c r="D1196"/>
  <c r="D158"/>
  <c r="D161"/>
  <c r="D495"/>
  <c r="D1148"/>
  <c r="D110"/>
  <c r="D113"/>
  <c r="D447"/>
  <c r="D428"/>
  <c r="D433"/>
  <c r="D12" i="7"/>
  <c r="D598" i="5"/>
  <c r="D203"/>
  <c r="D1333"/>
  <c r="D547"/>
  <c r="D550"/>
  <c r="D179"/>
  <c r="D908"/>
  <c r="D910"/>
  <c r="D500"/>
  <c r="D20"/>
  <c r="D795"/>
  <c r="D803"/>
  <c r="D437"/>
  <c r="D214"/>
  <c r="D636"/>
  <c r="D638"/>
  <c r="D235"/>
  <c r="D1397"/>
  <c r="D611"/>
  <c r="D614"/>
  <c r="D211"/>
  <c r="D940"/>
  <c r="D942"/>
  <c r="D564"/>
  <c r="D84"/>
  <c r="D1096"/>
  <c r="D665"/>
  <c r="D673"/>
  <c r="D501"/>
  <c r="D59"/>
  <c r="D668"/>
  <c r="D670"/>
  <c r="D267"/>
  <c r="D1461"/>
  <c r="D644"/>
  <c r="D646"/>
  <c r="D243"/>
  <c r="D972"/>
  <c r="D974"/>
  <c r="D384"/>
  <c r="D148"/>
  <c r="D325"/>
  <c r="D892"/>
  <c r="D894"/>
  <c r="D468"/>
  <c r="D7" i="6"/>
  <c r="D868" i="5"/>
  <c r="D870"/>
  <c r="D420"/>
  <c r="D15" i="7"/>
  <c r="D831" i="5"/>
  <c r="D507"/>
  <c r="D137"/>
  <c r="D585"/>
  <c r="D825"/>
  <c r="D833"/>
  <c r="D581"/>
  <c r="D139"/>
  <c r="D729"/>
  <c r="D737"/>
  <c r="D533"/>
  <c r="D91"/>
  <c r="D93"/>
  <c r="D98"/>
  <c r="D234"/>
  <c r="D898"/>
  <c r="D78"/>
  <c r="D81"/>
  <c r="D415"/>
  <c r="D631"/>
  <c r="D639"/>
  <c r="D411"/>
  <c r="D41"/>
  <c r="D845"/>
  <c r="D847"/>
  <c r="D304"/>
  <c r="D155"/>
  <c r="D157"/>
  <c r="D162"/>
  <c r="D308"/>
  <c r="D1584"/>
  <c r="D721"/>
  <c r="D142"/>
  <c r="D145"/>
  <c r="D479"/>
  <c r="D759"/>
  <c r="D767"/>
  <c r="D475"/>
  <c r="D105"/>
  <c r="D663"/>
  <c r="D671"/>
  <c r="D427"/>
  <c r="D57"/>
  <c r="D200"/>
  <c r="D202"/>
  <c r="D330"/>
  <c r="D590"/>
  <c r="D994"/>
  <c r="D61"/>
  <c r="D66"/>
  <c r="D256"/>
  <c r="D946"/>
  <c r="D13"/>
  <c r="D18"/>
  <c r="D220"/>
  <c r="D279"/>
  <c r="D281"/>
  <c r="D488"/>
  <c r="D56"/>
  <c r="D1151"/>
  <c r="D263"/>
  <c r="D265"/>
  <c r="D456"/>
  <c r="D1103"/>
  <c r="D239"/>
  <c r="D241"/>
  <c r="D408"/>
  <c r="D366"/>
  <c r="D370"/>
  <c r="D143"/>
  <c r="D323"/>
  <c r="D1094"/>
  <c r="D460"/>
  <c r="D465"/>
  <c r="D11" i="6"/>
  <c r="D1269" i="5"/>
  <c r="D412"/>
  <c r="D417"/>
  <c r="D6" i="7"/>
  <c r="D499" i="5"/>
  <c r="D502"/>
  <c r="D134"/>
  <c r="D1856"/>
  <c r="D871"/>
  <c r="D627"/>
  <c r="D1562"/>
  <c r="D1872"/>
  <c r="D903"/>
  <c r="D1712"/>
  <c r="D572"/>
  <c r="D382"/>
  <c r="D22"/>
  <c r="D893"/>
  <c r="D327"/>
  <c r="D329"/>
  <c r="D584"/>
  <c r="D1231"/>
  <c r="D303"/>
  <c r="D305"/>
  <c r="D536"/>
  <c r="D514"/>
  <c r="D519"/>
  <c r="D101"/>
  <c r="D736"/>
  <c r="D451"/>
  <c r="D454"/>
  <c r="D86"/>
  <c r="D957"/>
  <c r="D359"/>
  <c r="D361"/>
  <c r="D414"/>
  <c r="D909"/>
  <c r="D335"/>
  <c r="D337"/>
  <c r="D318"/>
  <c r="D578"/>
  <c r="D583"/>
  <c r="D165"/>
  <c r="D917"/>
  <c r="D816"/>
  <c r="D515"/>
  <c r="D518"/>
  <c r="D150"/>
  <c r="D1021"/>
  <c r="D391"/>
  <c r="D393"/>
  <c r="D478"/>
  <c r="D973"/>
  <c r="D367"/>
  <c r="D369"/>
  <c r="D430"/>
  <c r="D413"/>
  <c r="D416"/>
  <c r="D204"/>
  <c r="D246"/>
  <c r="D1370"/>
  <c r="D482"/>
  <c r="D487"/>
  <c r="D69"/>
  <c r="D1324"/>
  <c r="D434"/>
  <c r="D439"/>
  <c r="D21"/>
  <c r="D684"/>
  <c r="D686"/>
  <c r="D283"/>
  <c r="D592"/>
  <c r="D554"/>
  <c r="D138"/>
  <c r="D1028"/>
  <c r="D1030"/>
  <c r="D506"/>
  <c r="D90"/>
  <c r="D7"/>
  <c r="D12"/>
  <c r="D317"/>
  <c r="D785"/>
  <c r="D208"/>
  <c r="D210"/>
  <c r="D376"/>
  <c r="D699"/>
  <c r="D707"/>
  <c r="D360"/>
  <c r="D190"/>
  <c r="D610"/>
  <c r="D613"/>
  <c r="D570"/>
  <c r="D154"/>
  <c r="D71"/>
  <c r="D76"/>
  <c r="D349"/>
  <c r="D1329"/>
  <c r="D719"/>
  <c r="D48"/>
  <c r="D51"/>
  <c r="D457"/>
  <c r="D827"/>
  <c r="D835"/>
  <c r="D453"/>
  <c r="D11"/>
  <c r="D731"/>
  <c r="D739"/>
  <c r="D405"/>
  <c r="D198"/>
  <c r="D135"/>
  <c r="D140"/>
  <c r="D381"/>
  <c r="D568"/>
  <c r="D802"/>
  <c r="D6" i="6"/>
  <c r="D15"/>
  <c r="D301" i="5"/>
  <c r="D754"/>
  <c r="D14" i="7"/>
  <c r="D10"/>
  <c r="D277" i="5"/>
  <c r="D126"/>
  <c r="D129"/>
  <c r="D463"/>
  <c r="D95"/>
  <c r="D955"/>
  <c r="D128"/>
  <c r="D131"/>
  <c r="D537"/>
  <c r="D855"/>
  <c r="D80"/>
  <c r="D83"/>
  <c r="D489"/>
  <c r="D222"/>
  <c r="D226"/>
  <c r="D574"/>
  <c r="D1285"/>
  <c r="D402"/>
  <c r="D407"/>
  <c r="D159"/>
  <c r="D1065"/>
  <c r="D30"/>
  <c r="D33"/>
  <c r="D306"/>
  <c r="D987"/>
  <c r="D144"/>
  <c r="D147"/>
  <c r="D553"/>
  <c r="D284"/>
  <c r="D292"/>
  <c r="D626"/>
  <c r="D1003"/>
  <c r="D1365"/>
  <c r="D466"/>
  <c r="D471"/>
  <c r="D53"/>
  <c r="D1132"/>
  <c r="D94"/>
  <c r="D97"/>
  <c r="D431"/>
  <c r="D1084"/>
  <c r="D46"/>
  <c r="D49"/>
  <c r="D352"/>
  <c r="D298"/>
  <c r="D312"/>
  <c r="D658"/>
  <c r="D195"/>
  <c r="D1085"/>
  <c r="D266"/>
  <c r="D274"/>
  <c r="D542"/>
  <c r="D1037"/>
  <c r="D399"/>
  <c r="D401"/>
  <c r="D494"/>
  <c r="D477"/>
  <c r="D480"/>
  <c r="D40"/>
  <c r="D718"/>
  <c r="D315"/>
  <c r="D1145"/>
  <c r="D852"/>
  <c r="D854"/>
  <c r="D362"/>
  <c r="D1498"/>
  <c r="D342"/>
  <c r="D346"/>
  <c r="D188"/>
  <c r="D1450"/>
  <c r="D562"/>
  <c r="D567"/>
  <c r="D149"/>
  <c r="D748"/>
  <c r="D750"/>
  <c r="D347"/>
  <c r="D1458"/>
  <c r="D1209"/>
  <c r="D884"/>
  <c r="D886"/>
  <c r="D452"/>
  <c r="D10" i="6"/>
  <c r="D445" i="5"/>
  <c r="D448"/>
  <c r="D8"/>
  <c r="D1514"/>
  <c r="D378"/>
  <c r="D392"/>
  <c r="D196"/>
  <c r="D780"/>
  <c r="D782"/>
  <c r="D379"/>
  <c r="D565"/>
  <c r="D123"/>
  <c r="D700"/>
  <c r="D702"/>
  <c r="D299"/>
  <c r="D1525"/>
  <c r="D676"/>
  <c r="D678"/>
  <c r="D275"/>
  <c r="D1004"/>
  <c r="D1006"/>
  <c r="D458"/>
  <c r="D42"/>
  <c r="D1115"/>
  <c r="D1157"/>
  <c r="D992"/>
  <c r="D1954"/>
  <c r="D1131"/>
  <c r="D1239"/>
  <c r="D608"/>
  <c r="D950"/>
  <c r="D580"/>
  <c r="D100"/>
  <c r="D573"/>
  <c r="D576"/>
  <c r="D136"/>
  <c r="D1642"/>
  <c r="D525"/>
  <c r="D528"/>
  <c r="D88"/>
  <c r="D602"/>
  <c r="D605"/>
  <c r="D230"/>
  <c r="D1162"/>
  <c r="D980"/>
  <c r="D982"/>
  <c r="D410"/>
  <c r="D164"/>
  <c r="D403"/>
  <c r="D406"/>
  <c r="D38"/>
  <c r="D1706"/>
  <c r="D589"/>
  <c r="D290"/>
  <c r="D152"/>
  <c r="D725"/>
  <c r="D733"/>
  <c r="D300"/>
  <c r="D1714"/>
  <c r="D1226"/>
  <c r="D1012"/>
  <c r="D1014"/>
  <c r="D474"/>
  <c r="D58"/>
  <c r="D467"/>
  <c r="D470"/>
  <c r="D102"/>
  <c r="D1745"/>
  <c r="D419"/>
  <c r="D422"/>
  <c r="D54"/>
  <c r="D844"/>
  <c r="D846"/>
  <c r="D326"/>
  <c r="D587"/>
  <c r="D197"/>
  <c r="D828"/>
  <c r="D830"/>
  <c r="D248"/>
  <c r="D1330"/>
  <c r="D804"/>
  <c r="D806"/>
  <c r="D171"/>
  <c r="D633"/>
  <c r="D641"/>
  <c r="D485"/>
  <c r="D43"/>
  <c r="D130"/>
  <c r="D286"/>
  <c r="D1010"/>
  <c r="D77"/>
  <c r="D82"/>
  <c r="D176"/>
  <c r="D311"/>
  <c r="D313"/>
  <c r="D552"/>
  <c r="D1482"/>
  <c r="D344"/>
  <c r="D358"/>
  <c r="D666"/>
  <c r="D600"/>
  <c r="D184"/>
  <c r="D186"/>
  <c r="D372"/>
  <c r="D659"/>
  <c r="D141"/>
  <c r="D146"/>
  <c r="D276"/>
  <c r="D343"/>
  <c r="D345"/>
  <c r="D354"/>
  <c r="D691"/>
  <c r="D1594"/>
  <c r="D444"/>
  <c r="D449"/>
  <c r="D14" i="6"/>
  <c r="D843" i="5"/>
  <c r="D216"/>
  <c r="D218"/>
  <c r="D409"/>
  <c r="D657"/>
  <c r="D192"/>
  <c r="D194"/>
  <c r="D294"/>
  <c r="D375"/>
  <c r="D377"/>
  <c r="D446"/>
  <c r="D120"/>
  <c r="D1215"/>
  <c r="D295"/>
  <c r="D297"/>
  <c r="D520"/>
  <c r="D1167"/>
  <c r="D271"/>
  <c r="D273"/>
  <c r="D472"/>
  <c r="D450"/>
  <c r="D455"/>
  <c r="D37"/>
  <c r="D355"/>
  <c r="D1158"/>
  <c r="D524"/>
  <c r="D529"/>
  <c r="D47"/>
  <c r="D1110"/>
  <c r="D476"/>
  <c r="D481"/>
  <c r="D13" i="6"/>
  <c r="D563" i="5"/>
  <c r="D566"/>
  <c r="D187"/>
  <c r="D597"/>
  <c r="D788"/>
  <c r="D790"/>
  <c r="D387"/>
  <c r="D1222"/>
  <c r="D588"/>
  <c r="D288"/>
  <c r="D111"/>
  <c r="D1174"/>
  <c r="D540"/>
  <c r="D545"/>
  <c r="D63"/>
  <c r="D620"/>
  <c r="D622"/>
  <c r="D219"/>
  <c r="D1182"/>
  <c r="D839"/>
  <c r="D820"/>
  <c r="D822"/>
  <c r="D250"/>
  <c r="D1308"/>
  <c r="D418"/>
  <c r="D423"/>
  <c r="D175"/>
  <c r="D1238"/>
  <c r="D320"/>
  <c r="D334"/>
  <c r="D127"/>
  <c r="D652"/>
  <c r="D654"/>
  <c r="D251"/>
  <c r="D538"/>
  <c r="D122"/>
  <c r="D531"/>
  <c r="D534"/>
  <c r="D166"/>
  <c r="D1268"/>
  <c r="D483"/>
  <c r="D486"/>
  <c r="D118"/>
  <c r="D876"/>
  <c r="D878"/>
  <c r="D436"/>
  <c r="D8" i="7"/>
  <c r="K23" i="2"/>
  <c r="K62"/>
  <c r="K16" i="3"/>
  <c r="K124" i="2"/>
  <c r="K10"/>
  <c r="L107" i="1"/>
  <c r="K123" i="2"/>
  <c r="L40" i="1"/>
  <c r="I59"/>
  <c r="K130" i="2"/>
  <c r="I108" i="1"/>
  <c r="I126"/>
  <c r="K134"/>
  <c r="K65" i="2"/>
  <c r="L140" i="1"/>
  <c r="K95"/>
  <c r="L82"/>
  <c r="L133"/>
  <c r="L29"/>
  <c r="K8" i="7"/>
  <c r="I78" i="1"/>
  <c r="K8" i="3"/>
  <c r="K38" i="2"/>
  <c r="K85"/>
  <c r="I151" i="1"/>
  <c r="K81"/>
  <c r="L105"/>
  <c r="L50"/>
  <c r="K69" i="2"/>
  <c r="K144"/>
  <c r="I68" i="1"/>
  <c r="K125" i="2"/>
  <c r="K24"/>
  <c r="K158" i="1"/>
  <c r="L7" i="6"/>
  <c r="L136" i="1"/>
  <c r="L11" i="7"/>
  <c r="K84" i="2"/>
  <c r="K86"/>
  <c r="K52"/>
  <c r="K8"/>
  <c r="I75" i="1"/>
  <c r="K15" i="2"/>
  <c r="I154" i="1"/>
  <c r="L114"/>
  <c r="K110" i="2"/>
  <c r="I71" i="1"/>
  <c r="L41"/>
  <c r="K41" i="2"/>
  <c r="I138" i="1"/>
  <c r="L151"/>
  <c r="K131" i="2"/>
  <c r="K94" i="1"/>
  <c r="K90" i="2"/>
  <c r="K102"/>
  <c r="K79"/>
  <c r="K117"/>
  <c r="K27"/>
  <c r="K54"/>
  <c r="I106" i="1"/>
  <c r="K95" i="2"/>
  <c r="I24" i="1"/>
  <c r="K33"/>
  <c r="L75"/>
  <c r="K72"/>
  <c r="L56"/>
  <c r="I82"/>
  <c r="L123"/>
  <c r="I58"/>
  <c r="L53"/>
  <c r="K142"/>
  <c r="L119"/>
  <c r="K159"/>
  <c r="K12" i="6"/>
  <c r="K152" i="1"/>
  <c r="M107"/>
  <c r="M40"/>
  <c r="M140"/>
  <c r="M82"/>
  <c r="M133"/>
  <c r="M29"/>
  <c r="M105"/>
  <c r="M50"/>
  <c r="M7" i="6"/>
  <c r="M136" i="1"/>
  <c r="M11" i="7"/>
  <c r="M114" i="1"/>
  <c r="M41"/>
  <c r="M151"/>
  <c r="M75"/>
  <c r="M56"/>
  <c r="M123"/>
  <c r="M53"/>
  <c r="M119"/>
  <c r="N119"/>
  <c r="N53"/>
  <c r="N123"/>
  <c r="N56"/>
  <c r="N75"/>
  <c r="N151"/>
  <c r="N41"/>
  <c r="N114"/>
  <c r="N11" i="7"/>
  <c r="N136" i="1"/>
  <c r="N7" i="6"/>
  <c r="N50" i="1"/>
  <c r="N105"/>
  <c r="N29"/>
  <c r="N133"/>
  <c r="N82"/>
  <c r="N140"/>
  <c r="N40"/>
  <c r="N107"/>
  <c r="M31" i="2"/>
  <c r="N31"/>
  <c r="M21"/>
  <c r="N21"/>
  <c r="N95"/>
  <c r="M95"/>
  <c r="M12"/>
  <c r="N12"/>
  <c r="N107"/>
  <c r="M107"/>
  <c r="M70"/>
  <c r="N70"/>
  <c r="N42"/>
  <c r="M42"/>
  <c r="N111"/>
  <c r="M111"/>
  <c r="N30"/>
  <c r="M30"/>
  <c r="N76"/>
  <c r="M76"/>
  <c r="M34"/>
  <c r="N34"/>
  <c r="N125"/>
  <c r="M125"/>
  <c r="N117"/>
  <c r="M117"/>
  <c r="M93"/>
  <c r="N93"/>
  <c r="M27"/>
  <c r="N27"/>
  <c r="M6"/>
  <c r="N6"/>
  <c r="N55"/>
  <c r="M55"/>
  <c r="N130"/>
  <c r="M130"/>
  <c r="N126"/>
  <c r="M126"/>
  <c r="N41"/>
  <c r="M41"/>
  <c r="N9"/>
  <c r="M9"/>
  <c r="M136"/>
  <c r="N136"/>
  <c r="N16"/>
  <c r="M16"/>
  <c r="N11"/>
  <c r="M11"/>
  <c r="N121"/>
  <c r="M121"/>
  <c r="N82"/>
  <c r="M82"/>
  <c r="M143"/>
  <c r="N143"/>
  <c r="N88"/>
  <c r="M88"/>
  <c r="M62"/>
  <c r="N62"/>
  <c r="M71"/>
  <c r="N71"/>
  <c r="N56"/>
  <c r="M56"/>
  <c r="N7"/>
  <c r="M7"/>
  <c r="M83"/>
  <c r="N83"/>
  <c r="N94"/>
  <c r="M94"/>
  <c r="M110"/>
  <c r="N110"/>
  <c r="M85"/>
  <c r="N85"/>
  <c r="N135"/>
  <c r="M135"/>
  <c r="N90"/>
  <c r="M90"/>
  <c r="N81"/>
  <c r="M81"/>
  <c r="N103"/>
  <c r="M103"/>
  <c r="N60"/>
  <c r="M60"/>
  <c r="M98"/>
  <c r="N98"/>
  <c r="N87"/>
  <c r="M87"/>
  <c r="N108"/>
  <c r="M108"/>
  <c r="N129"/>
  <c r="M129"/>
  <c r="N106"/>
  <c r="M106"/>
  <c r="M39"/>
  <c r="N39"/>
  <c r="N138"/>
  <c r="M138"/>
  <c r="N144"/>
  <c r="M144"/>
  <c r="N134"/>
  <c r="M134"/>
  <c r="M120"/>
  <c r="N120"/>
  <c r="N73"/>
  <c r="M73"/>
  <c r="M47"/>
  <c r="N47"/>
  <c r="N36"/>
  <c r="M36"/>
  <c r="M14"/>
  <c r="N14"/>
  <c r="N102"/>
  <c r="M102"/>
  <c r="N127"/>
  <c r="M127"/>
  <c r="N89"/>
  <c r="M89"/>
  <c r="N8"/>
  <c r="M8"/>
  <c r="N67"/>
  <c r="M67"/>
  <c r="N114"/>
  <c r="M114"/>
  <c r="M91"/>
  <c r="N91"/>
  <c r="N43"/>
  <c r="M43"/>
  <c r="N37"/>
  <c r="M37"/>
  <c r="N80"/>
  <c r="M80"/>
  <c r="M57"/>
  <c r="N57"/>
  <c r="M104"/>
  <c r="N104"/>
  <c r="M18"/>
  <c r="N18"/>
  <c r="M66"/>
  <c r="N66"/>
  <c r="N72"/>
  <c r="M72"/>
  <c r="N10"/>
  <c r="M10"/>
  <c r="M113"/>
  <c r="N113"/>
  <c r="N105"/>
  <c r="M105"/>
  <c r="M101"/>
  <c r="N101"/>
  <c r="M23"/>
  <c r="N23"/>
  <c r="N32"/>
  <c r="M32"/>
  <c r="M97"/>
  <c r="N97"/>
  <c r="M38"/>
  <c r="N38"/>
  <c r="M69"/>
  <c r="N69"/>
  <c r="N119"/>
  <c r="M119"/>
  <c r="M50"/>
  <c r="N50"/>
  <c r="N19"/>
  <c r="M19"/>
  <c r="N17"/>
  <c r="M17"/>
  <c r="M28"/>
  <c r="N28"/>
  <c r="N92"/>
  <c r="M92"/>
  <c r="M65"/>
  <c r="N65"/>
  <c r="N61"/>
  <c r="M61"/>
  <c r="M115"/>
  <c r="N115"/>
  <c r="N52"/>
  <c r="M52"/>
  <c r="M26"/>
  <c r="N26"/>
  <c r="N131"/>
  <c r="M131"/>
  <c r="N123"/>
  <c r="M123"/>
  <c r="N86"/>
  <c r="M86"/>
  <c r="M40"/>
  <c r="N40"/>
  <c r="M79"/>
  <c r="N79"/>
  <c r="N77"/>
  <c r="M77"/>
  <c r="M22"/>
  <c r="N22"/>
  <c r="M63"/>
  <c r="N63"/>
  <c r="M141"/>
  <c r="N141"/>
  <c r="N13"/>
  <c r="M13"/>
  <c r="M35"/>
  <c r="N35"/>
  <c r="M48"/>
  <c r="N48"/>
  <c r="N44"/>
  <c r="M44"/>
  <c r="N128"/>
  <c r="M128"/>
  <c r="N64"/>
  <c r="M64"/>
  <c r="N51"/>
  <c r="M51"/>
  <c r="M96"/>
  <c r="N96"/>
  <c r="N45"/>
  <c r="M45"/>
  <c r="M68"/>
  <c r="N68"/>
  <c r="M118"/>
  <c r="N118"/>
  <c r="M49"/>
  <c r="N49"/>
  <c r="N78"/>
  <c r="M78"/>
  <c r="N122"/>
  <c r="M122"/>
  <c r="N25"/>
  <c r="M25"/>
  <c r="M100"/>
  <c r="N100"/>
  <c r="N133"/>
  <c r="M133"/>
  <c r="N29"/>
  <c r="M29"/>
  <c r="N109"/>
  <c r="M109"/>
  <c r="N140"/>
  <c r="M140"/>
  <c r="M59"/>
  <c r="N59"/>
  <c r="N124"/>
  <c r="M124"/>
  <c r="M74"/>
  <c r="N74"/>
  <c r="N99"/>
  <c r="M99"/>
  <c r="N33"/>
  <c r="M33"/>
  <c r="M54"/>
  <c r="N54"/>
  <c r="N46"/>
  <c r="M46"/>
  <c r="M24"/>
  <c r="N24"/>
  <c r="M142"/>
  <c r="N142"/>
  <c r="N137"/>
  <c r="M137"/>
  <c r="N15"/>
  <c r="M15"/>
  <c r="N132"/>
  <c r="M132"/>
  <c r="N20"/>
  <c r="M20"/>
  <c r="M112"/>
  <c r="N112"/>
  <c r="M58"/>
  <c r="N58"/>
  <c r="N75"/>
  <c r="M75"/>
  <c r="N116"/>
  <c r="M116"/>
  <c r="N53"/>
  <c r="M53"/>
  <c r="N84"/>
  <c r="M84"/>
  <c r="M139"/>
  <c r="N139"/>
</calcChain>
</file>

<file path=xl/sharedStrings.xml><?xml version="1.0" encoding="utf-8"?>
<sst xmlns="http://schemas.openxmlformats.org/spreadsheetml/2006/main" count="215" uniqueCount="35">
  <si>
    <t>Wavelength (microns)</t>
  </si>
  <si>
    <t>Frequency (Hz)</t>
  </si>
  <si>
    <t>W arcsec-2 m-2 micron-1</t>
  </si>
  <si>
    <t>photons m-2 s-1 arcsec-2 micron-1</t>
  </si>
  <si>
    <t>photons m-2 s-1 arcsec-2 Hz-1</t>
  </si>
  <si>
    <t>photons s-1</t>
  </si>
  <si>
    <t>Antenna Temp</t>
  </si>
  <si>
    <t>photons m-2 s-1 sr-1 micron-1</t>
  </si>
  <si>
    <t>Frequncy (THz)</t>
  </si>
  <si>
    <t>Wavelength (m)</t>
  </si>
  <si>
    <t>W arcsec-2 m-2 Hz-1</t>
  </si>
  <si>
    <t>W sr-1 m-2 micron-1</t>
  </si>
  <si>
    <t>W sr-1 m-2 Hz-1</t>
  </si>
  <si>
    <t>photons m-2 s-1 sr-1 Hz-1</t>
  </si>
  <si>
    <t>MJy sr-1</t>
  </si>
  <si>
    <t>I(nu) [sr]</t>
  </si>
  <si>
    <t>I(nu) [arcsec2]</t>
  </si>
  <si>
    <t>I(lambda) [sr]</t>
  </si>
  <si>
    <t>I(lambda) [arcsec2]</t>
  </si>
  <si>
    <t>N(nu) [sr]</t>
  </si>
  <si>
    <t>N(nu) [arcsec2]</t>
  </si>
  <si>
    <t>N(lambda) [sr]</t>
  </si>
  <si>
    <t>N(lambda) [arcsec2]</t>
  </si>
  <si>
    <t>2 polarization states</t>
  </si>
  <si>
    <t>I(nu) [sr] (raw input data)</t>
  </si>
  <si>
    <t>photons s-1 micron-1 (assume diffraction limited - A Omega = labda^2)</t>
  </si>
  <si>
    <t>Diffraction Limited</t>
  </si>
  <si>
    <t>Antenna Temperature</t>
  </si>
  <si>
    <t>Antenna Temp (K)</t>
  </si>
  <si>
    <t>Diffraction  Limited</t>
  </si>
  <si>
    <t>photons s-1 Hz-1 (assume diffraction limited - A Omega = labda^2)</t>
  </si>
  <si>
    <t>Input data</t>
  </si>
  <si>
    <t>photons s-1 micron-1</t>
  </si>
  <si>
    <t>photons s-1 micron</t>
  </si>
  <si>
    <t>Frequency (THz)</t>
  </si>
</sst>
</file>

<file path=xl/styles.xml><?xml version="1.0" encoding="utf-8"?>
<styleSheet xmlns="http://schemas.openxmlformats.org/spreadsheetml/2006/main">
  <numFmts count="1">
    <numFmt numFmtId="164" formatCode="0.0000E+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name val="Arial"/>
      <family val="2"/>
    </font>
    <font>
      <b/>
      <sz val="10"/>
      <color rgb="FF222222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</cellStyleXfs>
  <cellXfs count="32">
    <xf numFmtId="0" fontId="0" fillId="0" borderId="0" xfId="0"/>
    <xf numFmtId="0" fontId="2" fillId="0" borderId="0" xfId="0" applyFont="1"/>
    <xf numFmtId="0" fontId="3" fillId="0" borderId="0" xfId="1" applyFont="1"/>
    <xf numFmtId="0" fontId="3" fillId="0" borderId="0" xfId="2" applyFont="1"/>
    <xf numFmtId="0" fontId="3" fillId="0" borderId="0" xfId="3" applyFont="1"/>
    <xf numFmtId="0" fontId="4" fillId="0" borderId="0" xfId="0" applyFont="1"/>
    <xf numFmtId="0" fontId="3" fillId="0" borderId="0" xfId="4" applyFont="1"/>
    <xf numFmtId="0" fontId="1" fillId="0" borderId="0" xfId="0" applyFont="1"/>
    <xf numFmtId="0" fontId="0" fillId="0" borderId="0" xfId="0" applyFont="1"/>
    <xf numFmtId="0" fontId="3" fillId="0" borderId="0" xfId="5" applyFont="1"/>
    <xf numFmtId="0" fontId="5" fillId="0" borderId="0" xfId="0" applyFont="1"/>
    <xf numFmtId="0" fontId="5" fillId="2" borderId="0" xfId="0" applyFont="1" applyFill="1"/>
    <xf numFmtId="0" fontId="2" fillId="2" borderId="0" xfId="0" applyFont="1" applyFill="1"/>
    <xf numFmtId="0" fontId="5" fillId="0" borderId="0" xfId="0" applyFont="1" applyFill="1"/>
    <xf numFmtId="0" fontId="2" fillId="0" borderId="0" xfId="0" applyFont="1" applyFill="1"/>
    <xf numFmtId="0" fontId="8" fillId="0" borderId="0" xfId="6" applyFont="1"/>
    <xf numFmtId="164" fontId="5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4" fontId="6" fillId="0" borderId="0" xfId="0" applyNumberFormat="1" applyFont="1" applyFill="1"/>
    <xf numFmtId="164" fontId="3" fillId="0" borderId="0" xfId="0" applyNumberFormat="1" applyFont="1" applyFill="1"/>
    <xf numFmtId="164" fontId="7" fillId="0" borderId="0" xfId="0" applyNumberFormat="1" applyFont="1" applyFill="1"/>
    <xf numFmtId="164" fontId="3" fillId="0" borderId="0" xfId="1" applyNumberFormat="1" applyFo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/>
    <xf numFmtId="0" fontId="0" fillId="0" borderId="0" xfId="0"/>
    <xf numFmtId="0" fontId="5" fillId="0" borderId="0" xfId="0" applyNumberFormat="1" applyFont="1"/>
    <xf numFmtId="0" fontId="4" fillId="0" borderId="0" xfId="0" applyNumberFormat="1" applyFont="1"/>
    <xf numFmtId="0" fontId="8" fillId="0" borderId="0" xfId="6" applyNumberFormat="1" applyFont="1"/>
    <xf numFmtId="0" fontId="0" fillId="0" borderId="0" xfId="0"/>
    <xf numFmtId="11" fontId="0" fillId="0" borderId="0" xfId="0" applyNumberFormat="1"/>
  </cellXfs>
  <cellStyles count="7">
    <cellStyle name="Normal" xfId="0" builtinId="0"/>
    <cellStyle name="Normal_CMB" xfId="1"/>
    <cellStyle name="Normal_OH Line Bins" xfId="5"/>
    <cellStyle name="Normal_Sheet1" xfId="6"/>
    <cellStyle name="Normal_Zodi 0" xfId="2"/>
    <cellStyle name="Normal_Zodi 45" xfId="4"/>
    <cellStyle name="Normal_Zodi 90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209551</xdr:colOff>
      <xdr:row>0</xdr:row>
      <xdr:rowOff>104774</xdr:rowOff>
    </xdr:from>
    <xdr:to>
      <xdr:col>8</xdr:col>
      <xdr:colOff>1200151</xdr:colOff>
      <xdr:row>14</xdr:row>
      <xdr:rowOff>76200</xdr:rowOff>
    </xdr:to>
    <xdr:sp macro="" textlink="">
      <xdr:nvSpPr>
        <xdr:cNvPr id="2" name="TextBox 1"/>
        <xdr:cNvSpPr txBox="1"/>
      </xdr:nvSpPr>
      <xdr:spPr>
        <a:xfrm>
          <a:off x="209551" y="104774"/>
          <a:ext cx="9410700" cy="26384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This excel file is a inclusive refefrence</a:t>
          </a:r>
          <a:r>
            <a:rPr lang="en-US" sz="1100" baseline="0"/>
            <a:t> of  background noise  in the infrared in a variety of units</a:t>
          </a:r>
        </a:p>
        <a:p>
          <a:r>
            <a:rPr lang="en-US" sz="1100" baseline="0"/>
            <a:t>Each sheet contians a single background in 12 different units including antenna temperature</a:t>
          </a:r>
        </a:p>
        <a:p>
          <a:r>
            <a:rPr lang="en-US" sz="1100" baseline="0"/>
            <a:t>VBA functions are used for unit conversion and the code and comments for these functions can be accessed by pressing Alt-F11 or go to Developer (top level tab) and then to Visual Basic (left top).</a:t>
          </a:r>
        </a:p>
        <a:p>
          <a:r>
            <a:rPr lang="en-US" sz="1100" baseline="0"/>
            <a:t>Columns with the titles in </a:t>
          </a:r>
          <a:r>
            <a:rPr lang="en-US" sz="1100" b="1" baseline="0"/>
            <a:t>bold</a:t>
          </a:r>
          <a:r>
            <a:rPr lang="en-US" sz="1100" baseline="0"/>
            <a:t> are the original data. All other columns are conversions off of these originals.</a:t>
          </a:r>
        </a:p>
        <a:p>
          <a:r>
            <a:rPr lang="en-US" sz="1100" baseline="0"/>
            <a:t>Column supertitles in  </a:t>
          </a:r>
          <a:r>
            <a:rPr lang="en-US" sz="1100" b="1" baseline="0">
              <a:solidFill>
                <a:srgbClr val="FF0000"/>
              </a:solidFill>
            </a:rPr>
            <a:t>red</a:t>
          </a:r>
          <a:r>
            <a:rPr lang="en-US" sz="1100" b="0" baseline="0">
              <a:solidFill>
                <a:srgbClr val="FF0000"/>
              </a:solidFill>
            </a:rPr>
            <a:t> </a:t>
          </a:r>
          <a:r>
            <a:rPr lang="en-US" sz="1100" b="0" baseline="0">
              <a:solidFill>
                <a:sysClr val="windowText" lastClr="000000"/>
              </a:solidFill>
            </a:rPr>
            <a:t>are notation for spectral radiance units with the solid angle units in [brackets]</a:t>
          </a:r>
          <a:endParaRPr lang="en-US" sz="1100" baseline="0"/>
        </a:p>
        <a:p>
          <a:r>
            <a:rPr lang="en-US" sz="1100" baseline="0"/>
            <a:t>For conversions  regarding the solid angle and area, it is assumed that our system is diffraction limited therefore A</a:t>
          </a:r>
          <a:r>
            <a:rPr lang="el-GR" sz="1100" baseline="0"/>
            <a:t>Ω</a:t>
          </a:r>
          <a:r>
            <a:rPr lang="en-US" sz="1100" baseline="0"/>
            <a:t>=</a:t>
          </a:r>
          <a:r>
            <a:rPr lang="el-GR" sz="1100" baseline="0"/>
            <a:t>λ</a:t>
          </a:r>
          <a:r>
            <a:rPr lang="en-US" sz="1100" baseline="0"/>
            <a:t>^2</a:t>
          </a:r>
        </a:p>
        <a:p>
          <a:r>
            <a:rPr lang="en-US" sz="1100" baseline="0"/>
            <a:t>This File currently lives in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Labuse/Expt/Atmospheric Modeling/Nathan's Thesis Work/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Written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by Nathan Lenssen &lt;nlenssen13@cmc.edu&gt; in 2012</a:t>
          </a:r>
        </a:p>
        <a:p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Revisions:</a:t>
          </a:r>
        </a:p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see antenna temp calc - factor of 2 issue - Inu_to_Antenna_Temperature(E20,C20) for example. Should be divided by 2 for 2 pol Inu.</a:t>
          </a:r>
        </a:p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-b version 4-5-17 - do include factor of 2 in antenna temp for dual pol backgrounds including CMB</a:t>
          </a:r>
        </a:p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-c version  4-16-17 - added column P - DL photon rate per Hz BW - See Along the Path paper and Interstellar Laser Comm with Messerschmidt and Morrison</a:t>
          </a:r>
        </a:p>
      </xdr:txBody>
    </xdr:sp>
    <xdr:clientData/>
  </xdr:twoCellAnchor>
  <xdr:twoCellAnchor>
    <xdr:from>
      <xdr:col>9</xdr:col>
      <xdr:colOff>38100</xdr:colOff>
      <xdr:row>1</xdr:row>
      <xdr:rowOff>0</xdr:rowOff>
    </xdr:from>
    <xdr:to>
      <xdr:col>13</xdr:col>
      <xdr:colOff>323850</xdr:colOff>
      <xdr:row>6</xdr:row>
      <xdr:rowOff>171450</xdr:rowOff>
    </xdr:to>
    <xdr:sp macro="" textlink="">
      <xdr:nvSpPr>
        <xdr:cNvPr id="3" name="TextBox 2"/>
        <xdr:cNvSpPr txBox="1"/>
      </xdr:nvSpPr>
      <xdr:spPr>
        <a:xfrm>
          <a:off x="9925050" y="190500"/>
          <a:ext cx="7334250" cy="1123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This sheet contains data on the Cosmic Infrared Background (CIB)</a:t>
          </a: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//Insert more information here as I learn it//</a:t>
          </a:r>
        </a:p>
        <a:p>
          <a:endParaRPr lang="en-US"/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Source: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(Sean Denny's excel) //insert real souce here//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66675</xdr:rowOff>
    </xdr:from>
    <xdr:to>
      <xdr:col>4</xdr:col>
      <xdr:colOff>819150</xdr:colOff>
      <xdr:row>3</xdr:row>
      <xdr:rowOff>66675</xdr:rowOff>
    </xdr:to>
    <xdr:sp macro="" textlink="">
      <xdr:nvSpPr>
        <xdr:cNvPr id="2" name="TextBox 1"/>
        <xdr:cNvSpPr txBox="1"/>
      </xdr:nvSpPr>
      <xdr:spPr>
        <a:xfrm>
          <a:off x="219075" y="66675"/>
          <a:ext cx="290512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Cosmic Microwave</a:t>
          </a:r>
          <a:r>
            <a:rPr lang="en-US" sz="1100" baseline="0"/>
            <a:t> </a:t>
          </a:r>
          <a:r>
            <a:rPr lang="en-US" sz="1100"/>
            <a:t>Background</a:t>
          </a:r>
        </a:p>
        <a:p>
          <a:r>
            <a:rPr lang="en-US" sz="1100"/>
            <a:t>Source:</a:t>
          </a:r>
          <a:r>
            <a:rPr lang="en-US" sz="1100" baseline="0"/>
            <a:t> (Sean Denny's Excel)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152400</xdr:rowOff>
    </xdr:from>
    <xdr:to>
      <xdr:col>2</xdr:col>
      <xdr:colOff>47625</xdr:colOff>
      <xdr:row>4</xdr:row>
      <xdr:rowOff>38100</xdr:rowOff>
    </xdr:to>
    <xdr:sp macro="" textlink="">
      <xdr:nvSpPr>
        <xdr:cNvPr id="2" name="TextBox 1"/>
        <xdr:cNvSpPr txBox="1"/>
      </xdr:nvSpPr>
      <xdr:spPr>
        <a:xfrm>
          <a:off x="266700" y="152400"/>
          <a:ext cx="214312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Zodi </a:t>
          </a:r>
          <a:r>
            <a:rPr lang="en-US" sz="1100" baseline="0"/>
            <a:t> at 0/90 0/45 and 0/0</a:t>
          </a:r>
          <a:endParaRPr lang="en-US" sz="1100"/>
        </a:p>
        <a:p>
          <a:r>
            <a:rPr lang="en-US" sz="1100"/>
            <a:t>Source:</a:t>
          </a:r>
          <a:r>
            <a:rPr lang="en-US" sz="1100" baseline="0"/>
            <a:t> (COBE?)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123825</xdr:rowOff>
    </xdr:from>
    <xdr:to>
      <xdr:col>1</xdr:col>
      <xdr:colOff>904875</xdr:colOff>
      <xdr:row>3</xdr:row>
      <xdr:rowOff>123825</xdr:rowOff>
    </xdr:to>
    <xdr:sp macro="" textlink="">
      <xdr:nvSpPr>
        <xdr:cNvPr id="2" name="TextBox 1"/>
        <xdr:cNvSpPr txBox="1"/>
      </xdr:nvSpPr>
      <xdr:spPr>
        <a:xfrm>
          <a:off x="152400" y="123825"/>
          <a:ext cx="214312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Zodi </a:t>
          </a:r>
          <a:r>
            <a:rPr lang="en-US" sz="1100" baseline="0"/>
            <a:t> at 0/45</a:t>
          </a:r>
          <a:endParaRPr lang="en-US" sz="1100"/>
        </a:p>
        <a:p>
          <a:r>
            <a:rPr lang="en-US" sz="1100"/>
            <a:t>Source:</a:t>
          </a:r>
          <a:r>
            <a:rPr lang="en-US" sz="1100" baseline="0"/>
            <a:t> (COBE?)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104775</xdr:rowOff>
    </xdr:from>
    <xdr:to>
      <xdr:col>1</xdr:col>
      <xdr:colOff>819150</xdr:colOff>
      <xdr:row>3</xdr:row>
      <xdr:rowOff>104775</xdr:rowOff>
    </xdr:to>
    <xdr:sp macro="" textlink="">
      <xdr:nvSpPr>
        <xdr:cNvPr id="2" name="TextBox 1"/>
        <xdr:cNvSpPr txBox="1"/>
      </xdr:nvSpPr>
      <xdr:spPr>
        <a:xfrm>
          <a:off x="66675" y="104775"/>
          <a:ext cx="214312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Zodi </a:t>
          </a:r>
          <a:r>
            <a:rPr lang="en-US" sz="1100" baseline="0"/>
            <a:t> at 0/0</a:t>
          </a:r>
          <a:endParaRPr lang="en-US" sz="1100"/>
        </a:p>
        <a:p>
          <a:r>
            <a:rPr lang="en-US" sz="1100"/>
            <a:t>Source:</a:t>
          </a:r>
          <a:r>
            <a:rPr lang="en-US" sz="1100" baseline="0"/>
            <a:t> (COBE?)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19050</xdr:rowOff>
    </xdr:from>
    <xdr:to>
      <xdr:col>5</xdr:col>
      <xdr:colOff>276225</xdr:colOff>
      <xdr:row>3</xdr:row>
      <xdr:rowOff>19050</xdr:rowOff>
    </xdr:to>
    <xdr:sp macro="" textlink="">
      <xdr:nvSpPr>
        <xdr:cNvPr id="2" name="TextBox 1"/>
        <xdr:cNvSpPr txBox="1"/>
      </xdr:nvSpPr>
      <xdr:spPr>
        <a:xfrm>
          <a:off x="57150" y="19050"/>
          <a:ext cx="5257800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OH Lines</a:t>
          </a:r>
          <a:r>
            <a:rPr lang="en-US" sz="1100" baseline="0"/>
            <a:t> in the J and H band that have been "integrated" with a 1 micron bin</a:t>
          </a:r>
          <a:endParaRPr lang="en-US" sz="1100"/>
        </a:p>
        <a:p>
          <a:r>
            <a:rPr lang="en-US" sz="1100"/>
            <a:t>Source:</a:t>
          </a:r>
          <a:r>
            <a:rPr lang="en-US" sz="1100" baseline="0"/>
            <a:t> (Maihara et al. (1993; PASP 105, 940))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152400</xdr:rowOff>
    </xdr:from>
    <xdr:to>
      <xdr:col>5</xdr:col>
      <xdr:colOff>523875</xdr:colOff>
      <xdr:row>4</xdr:row>
      <xdr:rowOff>47626</xdr:rowOff>
    </xdr:to>
    <xdr:sp macro="" textlink="">
      <xdr:nvSpPr>
        <xdr:cNvPr id="2" name="TextBox 1"/>
        <xdr:cNvSpPr txBox="1"/>
      </xdr:nvSpPr>
      <xdr:spPr>
        <a:xfrm>
          <a:off x="266700" y="152400"/>
          <a:ext cx="5579269" cy="657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Zodi </a:t>
          </a:r>
          <a:r>
            <a:rPr lang="en-US" sz="1100" baseline="0"/>
            <a:t> at 90 + data from Leinart et al 1998 for short wavelength sunlight scattered Zodi</a:t>
          </a:r>
        </a:p>
        <a:p>
          <a:r>
            <a:rPr lang="en-US" sz="1100"/>
            <a:t>https://aas.aanda.org/articles/aas/pdf/1998/01/ds1449.pdf  -:Fig 1</a:t>
          </a:r>
        </a:p>
      </xdr:txBody>
    </xdr:sp>
    <xdr:clientData/>
  </xdr:twoCellAnchor>
  <xdr:twoCellAnchor>
    <xdr:from>
      <xdr:col>21</xdr:col>
      <xdr:colOff>440531</xdr:colOff>
      <xdr:row>2</xdr:row>
      <xdr:rowOff>154780</xdr:rowOff>
    </xdr:from>
    <xdr:to>
      <xdr:col>34</xdr:col>
      <xdr:colOff>309562</xdr:colOff>
      <xdr:row>100</xdr:row>
      <xdr:rowOff>83344</xdr:rowOff>
    </xdr:to>
    <xdr:sp macro="" textlink="">
      <xdr:nvSpPr>
        <xdr:cNvPr id="3" name="TextBox 2"/>
        <xdr:cNvSpPr txBox="1"/>
      </xdr:nvSpPr>
      <xdr:spPr>
        <a:xfrm>
          <a:off x="25717500" y="535780"/>
          <a:ext cx="7762875" cy="185975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 b="1">
              <a:solidFill>
                <a:schemeClr val="dk1"/>
              </a:solidFill>
              <a:latin typeface="+mn-lt"/>
              <a:ea typeface="+mn-ea"/>
              <a:cs typeface="+mn-cs"/>
            </a:rPr>
            <a:t>From Leinert et al 1997</a:t>
          </a:r>
        </a:p>
        <a:p>
          <a:r>
            <a:rPr lang="en-US" sz="1400" b="1">
              <a:solidFill>
                <a:schemeClr val="dk1"/>
              </a:solidFill>
              <a:latin typeface="+mn-lt"/>
              <a:ea typeface="+mn-ea"/>
              <a:cs typeface="+mn-cs"/>
            </a:rPr>
            <a:t>https://aas.aanda.org/articles/aas/pdf/1998/01/ds1449.pdf - Fig</a:t>
          </a:r>
          <a:r>
            <a:rPr lang="en-US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4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400" b="1"/>
        </a:p>
        <a:p>
          <a:r>
            <a:rPr lang="en-US" sz="1400" b="1"/>
            <a:t>Note that the table 19 data (Leinert et al 1997) at the COBE DIRBE wavelengths is somewhat different </a:t>
          </a:r>
        </a:p>
        <a:p>
          <a:r>
            <a:rPr lang="en-US" sz="1400" b="1"/>
            <a:t>than the 90 degree</a:t>
          </a:r>
          <a:r>
            <a:rPr lang="en-US" sz="1400" b="1" baseline="0"/>
            <a:t> (ecliptic pole) day 100 COBE data.  Table 19 is higher by about a factor of 3.</a:t>
          </a:r>
        </a:p>
        <a:p>
          <a:r>
            <a:rPr lang="en-US" sz="1400" b="1" baseline="0"/>
            <a:t>Table 19 data does not seem to agree with Fig 1 Zodi data (see digitized data on this page) while the Fig 1 digitized data does agree pretty well with the COBE DIRBE day 100 data.</a:t>
          </a:r>
        </a:p>
        <a:p>
          <a:r>
            <a:rPr lang="en-US" sz="1400" b="1" baseline="0"/>
            <a:t>Unsure why Table 19 and Fig 1 seem to disagree.</a:t>
          </a:r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endParaRPr lang="en-US" sz="1400" b="1"/>
        </a:p>
        <a:p>
          <a:r>
            <a:rPr lang="en-US" sz="1400" b="1"/>
            <a:t>From : Ned Wright - IR Backgrounds China 2003 -CIRB</a:t>
          </a:r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 editAs="oneCell">
    <xdr:from>
      <xdr:col>21</xdr:col>
      <xdr:colOff>464343</xdr:colOff>
      <xdr:row>6</xdr:row>
      <xdr:rowOff>120500</xdr:rowOff>
    </xdr:from>
    <xdr:to>
      <xdr:col>32</xdr:col>
      <xdr:colOff>155237</xdr:colOff>
      <xdr:row>32</xdr:row>
      <xdr:rowOff>146504</xdr:rowOff>
    </xdr:to>
    <xdr:pic>
      <xdr:nvPicPr>
        <xdr:cNvPr id="4" name="Picture 3" descr="diffuse_night_sky__leinert_et_al_1998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41312" y="1263500"/>
          <a:ext cx="6370300" cy="4979004"/>
        </a:xfrm>
        <a:prstGeom prst="rect">
          <a:avLst/>
        </a:prstGeom>
      </xdr:spPr>
    </xdr:pic>
    <xdr:clientData/>
  </xdr:twoCellAnchor>
  <xdr:twoCellAnchor>
    <xdr:from>
      <xdr:col>22</xdr:col>
      <xdr:colOff>428624</xdr:colOff>
      <xdr:row>69</xdr:row>
      <xdr:rowOff>83344</xdr:rowOff>
    </xdr:from>
    <xdr:to>
      <xdr:col>33</xdr:col>
      <xdr:colOff>178593</xdr:colOff>
      <xdr:row>96</xdr:row>
      <xdr:rowOff>59531</xdr:rowOff>
    </xdr:to>
    <xdr:sp macro="" textlink="">
      <xdr:nvSpPr>
        <xdr:cNvPr id="6" name="object 2"/>
        <xdr:cNvSpPr/>
      </xdr:nvSpPr>
      <xdr:spPr>
        <a:xfrm>
          <a:off x="26312812" y="13227844"/>
          <a:ext cx="6429375" cy="5119687"/>
        </a:xfrm>
        <a:prstGeom prst="rect">
          <a:avLst/>
        </a:prstGeom>
        <a:blipFill>
          <a:blip xmlns:r="http://schemas.openxmlformats.org/officeDocument/2006/relationships" r:embed="rId2" cstate="print"/>
          <a:stretch>
            <a:fillRect/>
          </a:stretch>
        </a:blipFill>
      </xdr:spPr>
      <xdr:txBody>
        <a:bodyPr wrap="square" lIns="0" tIns="0" rIns="0" bIns="0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 editAs="oneCell">
    <xdr:from>
      <xdr:col>22</xdr:col>
      <xdr:colOff>321470</xdr:colOff>
      <xdr:row>40</xdr:row>
      <xdr:rowOff>107156</xdr:rowOff>
    </xdr:from>
    <xdr:to>
      <xdr:col>28</xdr:col>
      <xdr:colOff>439450</xdr:colOff>
      <xdr:row>60</xdr:row>
      <xdr:rowOff>166687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6205658" y="7727156"/>
          <a:ext cx="3761292" cy="3869531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266699</xdr:colOff>
      <xdr:row>0</xdr:row>
      <xdr:rowOff>152399</xdr:rowOff>
    </xdr:from>
    <xdr:to>
      <xdr:col>2</xdr:col>
      <xdr:colOff>666749</xdr:colOff>
      <xdr:row>5</xdr:row>
      <xdr:rowOff>105832</xdr:rowOff>
    </xdr:to>
    <xdr:sp macro="" textlink="">
      <xdr:nvSpPr>
        <xdr:cNvPr id="2" name="TextBox 1"/>
        <xdr:cNvSpPr txBox="1"/>
      </xdr:nvSpPr>
      <xdr:spPr>
        <a:xfrm>
          <a:off x="266699" y="152399"/>
          <a:ext cx="2823633" cy="9059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Faint star </a:t>
          </a:r>
          <a:r>
            <a:rPr lang="en-US" sz="1100" baseline="0"/>
            <a:t>data from Leinart et al 1998 for diffuse faint stars and short wavelength sunlight scattered Zodi</a:t>
          </a:r>
        </a:p>
        <a:p>
          <a:r>
            <a:rPr lang="en-US" sz="1100"/>
            <a:t>https://aas.aanda.org/articles/aas/pdf/1998/01/ds1449.pdf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8:P204"/>
  <sheetViews>
    <sheetView zoomScale="90" zoomScaleNormal="90" workbookViewId="0">
      <selection activeCell="G21" sqref="G21"/>
    </sheetView>
  </sheetViews>
  <sheetFormatPr defaultRowHeight="15"/>
  <cols>
    <col min="1" max="1" width="15.42578125" bestFit="1" customWidth="1"/>
    <col min="2" max="2" width="20.42578125" customWidth="1"/>
    <col min="3" max="4" width="14.28515625" customWidth="1"/>
    <col min="5" max="5" width="15" customWidth="1"/>
    <col min="6" max="6" width="19" bestFit="1" customWidth="1"/>
    <col min="8" max="8" width="18.7109375" customWidth="1"/>
    <col min="9" max="9" width="22" customWidth="1"/>
    <col min="10" max="10" width="23.140625" customWidth="1"/>
    <col min="11" max="11" width="26.5703125" customWidth="1"/>
    <col min="12" max="12" width="26.28515625" style="18" customWidth="1"/>
    <col min="13" max="13" width="29.7109375" style="18" customWidth="1"/>
    <col min="14" max="14" width="18.5703125" style="21" customWidth="1"/>
    <col min="15" max="15" width="13" customWidth="1"/>
    <col min="16" max="16" width="16.28515625" customWidth="1"/>
  </cols>
  <sheetData>
    <row r="18" spans="1:16" s="10" customFormat="1">
      <c r="E18" s="10" t="s">
        <v>24</v>
      </c>
      <c r="F18" s="10" t="s">
        <v>16</v>
      </c>
      <c r="H18" s="10" t="s">
        <v>17</v>
      </c>
      <c r="I18" s="10" t="s">
        <v>18</v>
      </c>
      <c r="J18" s="10" t="s">
        <v>19</v>
      </c>
      <c r="K18" s="10" t="s">
        <v>20</v>
      </c>
      <c r="L18" s="16" t="s">
        <v>21</v>
      </c>
      <c r="M18" s="16" t="s">
        <v>22</v>
      </c>
      <c r="N18" s="19" t="s">
        <v>26</v>
      </c>
      <c r="O18" s="10" t="s">
        <v>27</v>
      </c>
      <c r="P18" s="10" t="s">
        <v>26</v>
      </c>
    </row>
    <row r="19" spans="1:16" s="8" customFormat="1">
      <c r="A19" t="s">
        <v>9</v>
      </c>
      <c r="B19" s="7" t="s">
        <v>0</v>
      </c>
      <c r="C19" s="8" t="s">
        <v>1</v>
      </c>
      <c r="D19" t="s">
        <v>8</v>
      </c>
      <c r="E19" s="5" t="s">
        <v>12</v>
      </c>
      <c r="F19" s="1" t="s">
        <v>10</v>
      </c>
      <c r="G19" s="1" t="s">
        <v>14</v>
      </c>
      <c r="H19" s="1" t="s">
        <v>11</v>
      </c>
      <c r="I19" s="1" t="s">
        <v>2</v>
      </c>
      <c r="J19" s="1" t="s">
        <v>13</v>
      </c>
      <c r="K19" s="1" t="s">
        <v>4</v>
      </c>
      <c r="L19" s="17" t="s">
        <v>7</v>
      </c>
      <c r="M19" s="17" t="s">
        <v>3</v>
      </c>
      <c r="N19" s="20" t="s">
        <v>25</v>
      </c>
      <c r="O19" s="1" t="s">
        <v>28</v>
      </c>
      <c r="P19" t="s">
        <v>30</v>
      </c>
    </row>
    <row r="20" spans="1:16">
      <c r="A20">
        <f>B20*0.000001</f>
        <v>2.2030999999999999E-7</v>
      </c>
      <c r="B20" s="2">
        <v>0.22031000000000001</v>
      </c>
      <c r="C20" s="2">
        <f>wavelength_to_freq(B20)</f>
        <v>1360775489083564</v>
      </c>
      <c r="D20" s="2">
        <f>C20*0.000000000001</f>
        <v>1360.775489083564</v>
      </c>
      <c r="E20" s="2">
        <v>1.3180780116666669E-24</v>
      </c>
      <c r="F20" s="2">
        <f>sr_to_arcsec2(E20)</f>
        <v>3.0974834007835173E-35</v>
      </c>
      <c r="G20">
        <f>Inu_to_MJy(E20)</f>
        <v>1.3180780116666668E-4</v>
      </c>
      <c r="H20">
        <f>Inu_to_Ilambda(E20,B20)</f>
        <v>8.1412929552721182E-9</v>
      </c>
      <c r="I20">
        <f>Inu_to_Ilambda(F20,B20)</f>
        <v>1.9132038898050076E-19</v>
      </c>
      <c r="J20">
        <f>Inu_to_Nnu(E20,C20)</f>
        <v>1.4618358418334423E-6</v>
      </c>
      <c r="K20">
        <f>Inu_to_Nnu(F20,C20)</f>
        <v>3.4353143096772869E-17</v>
      </c>
      <c r="L20" s="18">
        <f>Ilambda_to_Nlambda(H20,B20)</f>
        <v>9029233274.1627064</v>
      </c>
      <c r="M20" s="22">
        <f>sr_to_arcsec2(L20)</f>
        <v>0.21218698696867486</v>
      </c>
      <c r="N20" s="21">
        <f>L20*A20^2</f>
        <v>4.3824734559738839E-4</v>
      </c>
      <c r="O20">
        <f>Inu_to_Antenna_Temperature(E20,C20)</f>
        <v>2.3168394711478463E-15</v>
      </c>
      <c r="P20">
        <f>0.000139*O20*B20</f>
        <v>7.0948783640512902E-20</v>
      </c>
    </row>
    <row r="21" spans="1:16">
      <c r="A21">
        <f t="shared" ref="A21:A84" si="0">B21*0.000001</f>
        <v>2.4446999999999996E-7</v>
      </c>
      <c r="B21" s="2">
        <v>0.24446999999999999</v>
      </c>
      <c r="C21" s="2">
        <f t="shared" ref="C21:C84" si="1">wavelength_to_freq(B21)</f>
        <v>1226295447294146.5</v>
      </c>
      <c r="D21" s="2">
        <f t="shared" ref="D21:D84" si="2">C21*0.000000000001</f>
        <v>1226.2954472941465</v>
      </c>
      <c r="E21" s="2">
        <v>1.6316253759999998E-24</v>
      </c>
      <c r="F21" s="2">
        <f t="shared" ref="F21:F84" si="3">sr_to_arcsec2(E21)</f>
        <v>3.8343197244195209E-35</v>
      </c>
      <c r="G21">
        <f t="shared" ref="G21:G84" si="4">Inu_to_MJy(E21)</f>
        <v>1.6316253759999998E-4</v>
      </c>
      <c r="H21">
        <f t="shared" ref="H21:H84" si="5">Inu_to_Ilambda(E21,B21)</f>
        <v>8.1844593213007725E-9</v>
      </c>
      <c r="I21">
        <f t="shared" ref="I21:I84" si="6">Inu_to_Ilambda(F21,B21)</f>
        <v>1.9233479860620137E-19</v>
      </c>
      <c r="J21">
        <f t="shared" ref="J21:J84" si="7">Inu_to_Nnu(E21,C21)</f>
        <v>2.0080258710313335E-6</v>
      </c>
      <c r="K21">
        <f t="shared" ref="K21:K84" si="8">Inu_to_Nnu(F21,C21)</f>
        <v>4.7188609086943564E-17</v>
      </c>
      <c r="L21" s="18">
        <f t="shared" ref="L21:L84" si="9">Ilambda_to_Nlambda(H21,B21)</f>
        <v>10072536440.849949</v>
      </c>
      <c r="M21" s="22">
        <f t="shared" ref="M21:M84" si="10">sr_to_arcsec2(L21)</f>
        <v>0.23670461196654841</v>
      </c>
      <c r="N21" s="21">
        <f t="shared" ref="N21:N84" si="11">L21*A21^2</f>
        <v>6.0199099152381547E-4</v>
      </c>
      <c r="O21">
        <f t="shared" ref="O21:O84" si="12">Inu_to_Antenna_Temperature(E21,C21)</f>
        <v>3.531490184875452E-15</v>
      </c>
      <c r="P21">
        <f t="shared" ref="P21:P84" si="13">0.000139*O21*B21</f>
        <v>1.2000473336401373E-19</v>
      </c>
    </row>
    <row r="22" spans="1:16">
      <c r="A22">
        <f t="shared" si="0"/>
        <v>2.6250999999999999E-7</v>
      </c>
      <c r="B22" s="2">
        <v>0.26251000000000002</v>
      </c>
      <c r="C22" s="2">
        <f t="shared" si="1"/>
        <v>1142022962934745.2</v>
      </c>
      <c r="D22" s="2">
        <f t="shared" si="2"/>
        <v>1142.0229629347452</v>
      </c>
      <c r="E22" s="2">
        <v>1.9038450246666669E-24</v>
      </c>
      <c r="F22" s="2">
        <f t="shared" si="3"/>
        <v>4.4740359139384771E-35</v>
      </c>
      <c r="G22">
        <f t="shared" si="4"/>
        <v>1.9038450246666668E-4</v>
      </c>
      <c r="H22">
        <f t="shared" si="5"/>
        <v>8.2824834712521414E-9</v>
      </c>
      <c r="I22">
        <f t="shared" si="6"/>
        <v>1.9463836618462078E-19</v>
      </c>
      <c r="J22">
        <f t="shared" si="7"/>
        <v>2.515942582286215E-6</v>
      </c>
      <c r="K22">
        <f t="shared" si="8"/>
        <v>5.9124652084149854E-17</v>
      </c>
      <c r="L22" s="18">
        <f t="shared" si="9"/>
        <v>10945351424.312206</v>
      </c>
      <c r="M22" s="22">
        <f t="shared" si="10"/>
        <v>0.25721576456373768</v>
      </c>
      <c r="N22" s="21">
        <f t="shared" si="11"/>
        <v>7.5426058577102574E-4</v>
      </c>
      <c r="O22">
        <f t="shared" si="12"/>
        <v>4.7512699343801253E-15</v>
      </c>
      <c r="P22">
        <f t="shared" si="13"/>
        <v>1.7336856599590361E-19</v>
      </c>
    </row>
    <row r="23" spans="1:16">
      <c r="A23">
        <f t="shared" si="0"/>
        <v>2.8033999999999998E-7</v>
      </c>
      <c r="B23" s="2">
        <v>0.28033999999999998</v>
      </c>
      <c r="C23" s="2">
        <f t="shared" si="1"/>
        <v>1069388770778340.6</v>
      </c>
      <c r="D23" s="2">
        <f t="shared" si="2"/>
        <v>1069.3887707783406</v>
      </c>
      <c r="E23" s="2">
        <v>2.1805405879999999E-24</v>
      </c>
      <c r="F23" s="2">
        <f t="shared" si="3"/>
        <v>5.1242705031732361E-35</v>
      </c>
      <c r="G23">
        <f t="shared" si="4"/>
        <v>2.1805405879999999E-4</v>
      </c>
      <c r="H23">
        <f t="shared" si="5"/>
        <v>8.3179197368680881E-9</v>
      </c>
      <c r="I23">
        <f t="shared" si="6"/>
        <v>1.9547111844632004E-19</v>
      </c>
      <c r="J23">
        <f t="shared" si="7"/>
        <v>3.0773190419171153E-6</v>
      </c>
      <c r="K23">
        <f t="shared" si="8"/>
        <v>7.2316999197949336E-17</v>
      </c>
      <c r="L23" s="18">
        <f t="shared" si="9"/>
        <v>11738783004.667635</v>
      </c>
      <c r="M23" s="22">
        <f t="shared" si="10"/>
        <v>0.27586140714373009</v>
      </c>
      <c r="N23" s="21">
        <f t="shared" si="11"/>
        <v>9.2255700885334651E-4</v>
      </c>
      <c r="O23">
        <f t="shared" si="12"/>
        <v>6.2061278823614071E-15</v>
      </c>
      <c r="P23">
        <f t="shared" si="13"/>
        <v>2.4183579878522636E-19</v>
      </c>
    </row>
    <row r="24" spans="1:16">
      <c r="A24">
        <f t="shared" si="0"/>
        <v>3.0377999999999998E-7</v>
      </c>
      <c r="B24" s="2">
        <v>0.30377999999999999</v>
      </c>
      <c r="C24" s="2">
        <f t="shared" si="1"/>
        <v>986873553229310.75</v>
      </c>
      <c r="D24" s="2">
        <f t="shared" si="2"/>
        <v>986.87355322931069</v>
      </c>
      <c r="E24" s="2">
        <v>2.5713559359999999E-24</v>
      </c>
      <c r="F24" s="2">
        <f t="shared" si="3"/>
        <v>6.0426865927267974E-35</v>
      </c>
      <c r="G24">
        <f t="shared" si="4"/>
        <v>2.5713559360000002E-4</v>
      </c>
      <c r="H24">
        <f t="shared" si="5"/>
        <v>8.3534240870946093E-9</v>
      </c>
      <c r="I24">
        <f t="shared" si="6"/>
        <v>1.9630547069640568E-19</v>
      </c>
      <c r="J24">
        <f t="shared" si="7"/>
        <v>3.9322820006082293E-6</v>
      </c>
      <c r="K24">
        <f t="shared" si="8"/>
        <v>9.2408629203079951E-17</v>
      </c>
      <c r="L24" s="18">
        <f t="shared" si="9"/>
        <v>12774590526.82832</v>
      </c>
      <c r="M24" s="22">
        <f t="shared" si="10"/>
        <v>0.30020288449105731</v>
      </c>
      <c r="N24" s="21">
        <f t="shared" si="11"/>
        <v>1.1788684471886789E-3</v>
      </c>
      <c r="O24">
        <f t="shared" si="12"/>
        <v>8.5934382438848629E-15</v>
      </c>
      <c r="P24">
        <f t="shared" si="13"/>
        <v>3.6286153909210075E-19</v>
      </c>
    </row>
    <row r="25" spans="1:16">
      <c r="A25">
        <f t="shared" si="0"/>
        <v>3.2918999999999995E-7</v>
      </c>
      <c r="B25" s="2">
        <v>0.32918999999999998</v>
      </c>
      <c r="C25" s="2">
        <f t="shared" si="1"/>
        <v>910697311582976.5</v>
      </c>
      <c r="D25" s="2">
        <f t="shared" si="2"/>
        <v>910.69731158297645</v>
      </c>
      <c r="E25" s="2">
        <v>3.0058997279999996E-24</v>
      </c>
      <c r="F25" s="2">
        <f t="shared" si="3"/>
        <v>7.063864528114371E-35</v>
      </c>
      <c r="G25">
        <f t="shared" si="4"/>
        <v>3.0058997279999998E-4</v>
      </c>
      <c r="H25">
        <f t="shared" si="5"/>
        <v>8.3157592915264751E-9</v>
      </c>
      <c r="I25">
        <f t="shared" si="6"/>
        <v>1.9542034797958959E-19</v>
      </c>
      <c r="J25">
        <f t="shared" si="7"/>
        <v>4.9813195594452754E-6</v>
      </c>
      <c r="K25">
        <f t="shared" si="8"/>
        <v>1.1706101241966575E-16</v>
      </c>
      <c r="L25" s="18">
        <f t="shared" si="9"/>
        <v>13780717308.917374</v>
      </c>
      <c r="M25" s="22">
        <f t="shared" si="10"/>
        <v>0.32384686443018029</v>
      </c>
      <c r="N25" s="21">
        <f t="shared" si="11"/>
        <v>1.4933619849963806E-3</v>
      </c>
      <c r="O25">
        <f t="shared" si="12"/>
        <v>1.1796526953960541E-14</v>
      </c>
      <c r="P25">
        <f t="shared" si="13"/>
        <v>5.3977852040842346E-19</v>
      </c>
    </row>
    <row r="26" spans="1:16">
      <c r="A26">
        <f t="shared" si="0"/>
        <v>3.6263000000000001E-7</v>
      </c>
      <c r="B26" s="2">
        <v>0.36263000000000001</v>
      </c>
      <c r="C26" s="2">
        <f t="shared" si="1"/>
        <v>826717171772881.37</v>
      </c>
      <c r="D26" s="2">
        <f t="shared" si="2"/>
        <v>826.71717177288133</v>
      </c>
      <c r="E26" s="2">
        <v>3.6938579689999999E-24</v>
      </c>
      <c r="F26" s="2">
        <f t="shared" si="3"/>
        <v>8.6805664327574986E-35</v>
      </c>
      <c r="G26">
        <f t="shared" si="4"/>
        <v>3.693857969E-4</v>
      </c>
      <c r="H26">
        <f t="shared" si="5"/>
        <v>8.4211891268301016E-9</v>
      </c>
      <c r="I26">
        <f t="shared" si="6"/>
        <v>1.9789794916790914E-19</v>
      </c>
      <c r="J26">
        <f t="shared" si="7"/>
        <v>6.7432180413176236E-6</v>
      </c>
      <c r="K26">
        <f t="shared" si="8"/>
        <v>1.5846562772437375E-16</v>
      </c>
      <c r="L26" s="18">
        <f t="shared" si="9"/>
        <v>15373063860.590616</v>
      </c>
      <c r="M26" s="22">
        <f t="shared" si="10"/>
        <v>0.36126700928083333</v>
      </c>
      <c r="N26" s="21">
        <f t="shared" si="11"/>
        <v>2.0215658440043754E-3</v>
      </c>
      <c r="O26">
        <f t="shared" si="12"/>
        <v>1.759114303455431E-14</v>
      </c>
      <c r="P26">
        <f t="shared" si="13"/>
        <v>8.8669159160823964E-19</v>
      </c>
    </row>
    <row r="27" spans="1:16">
      <c r="A27">
        <f t="shared" si="0"/>
        <v>3.9583000000000002E-7</v>
      </c>
      <c r="B27" s="2">
        <v>0.39583000000000002</v>
      </c>
      <c r="C27" s="2">
        <f t="shared" si="1"/>
        <v>757376772857034.5</v>
      </c>
      <c r="D27" s="2">
        <f t="shared" si="2"/>
        <v>757.37677285703444</v>
      </c>
      <c r="E27" s="2">
        <v>4.4392994216666672E-24</v>
      </c>
      <c r="F27" s="2">
        <f t="shared" si="3"/>
        <v>1.0432353888016925E-34</v>
      </c>
      <c r="G27">
        <f t="shared" si="4"/>
        <v>4.439299421666667E-4</v>
      </c>
      <c r="H27">
        <f t="shared" si="5"/>
        <v>8.4941067370537862E-9</v>
      </c>
      <c r="I27">
        <f t="shared" si="6"/>
        <v>1.9961151304875313E-19</v>
      </c>
      <c r="J27">
        <f t="shared" si="7"/>
        <v>8.8459896089810557E-6</v>
      </c>
      <c r="K27">
        <f t="shared" si="8"/>
        <v>2.0788076073490898E-16</v>
      </c>
      <c r="L27" s="18">
        <f t="shared" si="9"/>
        <v>16925819323.388657</v>
      </c>
      <c r="M27" s="22">
        <f t="shared" si="10"/>
        <v>0.39775676352088191</v>
      </c>
      <c r="N27" s="21">
        <f t="shared" si="11"/>
        <v>2.6519608798589935E-3</v>
      </c>
      <c r="O27">
        <f t="shared" si="12"/>
        <v>2.5189425256532502E-14</v>
      </c>
      <c r="P27">
        <f t="shared" si="13"/>
        <v>1.3859314977017631E-18</v>
      </c>
    </row>
    <row r="28" spans="1:16">
      <c r="A28">
        <f t="shared" si="0"/>
        <v>4.2893999999999998E-7</v>
      </c>
      <c r="B28" s="2">
        <v>0.42893999999999999</v>
      </c>
      <c r="C28" s="2">
        <f t="shared" si="1"/>
        <v>698914645404951.75</v>
      </c>
      <c r="D28" s="2">
        <f t="shared" si="2"/>
        <v>698.91464540495178</v>
      </c>
      <c r="E28" s="2">
        <v>5.5819534979999994E-24</v>
      </c>
      <c r="F28" s="2">
        <f t="shared" si="3"/>
        <v>1.3117591031002659E-34</v>
      </c>
      <c r="G28">
        <f t="shared" si="4"/>
        <v>5.5819534979999999E-4</v>
      </c>
      <c r="H28">
        <f t="shared" si="5"/>
        <v>9.0952325493579526E-9</v>
      </c>
      <c r="I28">
        <f t="shared" si="6"/>
        <v>2.1373796997249965E-19</v>
      </c>
      <c r="J28">
        <f t="shared" si="7"/>
        <v>1.2053302104134938E-5</v>
      </c>
      <c r="K28">
        <f t="shared" si="8"/>
        <v>2.8325260615627927E-16</v>
      </c>
      <c r="L28" s="18">
        <f t="shared" si="9"/>
        <v>19639645092.717461</v>
      </c>
      <c r="M28" s="22">
        <f t="shared" si="10"/>
        <v>0.46153167061067835</v>
      </c>
      <c r="N28" s="21">
        <f t="shared" si="11"/>
        <v>3.6134889442821631E-3</v>
      </c>
      <c r="O28">
        <f t="shared" si="12"/>
        <v>3.7193385925525617E-14</v>
      </c>
      <c r="P28">
        <f t="shared" si="13"/>
        <v>2.2175686032863988E-18</v>
      </c>
    </row>
    <row r="29" spans="1:16">
      <c r="A29">
        <f t="shared" si="0"/>
        <v>4.5473999999999995E-7</v>
      </c>
      <c r="B29" s="2">
        <v>0.45473999999999998</v>
      </c>
      <c r="C29" s="2">
        <f t="shared" si="1"/>
        <v>659261221797070.87</v>
      </c>
      <c r="D29" s="2">
        <f t="shared" si="2"/>
        <v>659.2612217970709</v>
      </c>
      <c r="E29" s="2">
        <v>6.5822553940000004E-24</v>
      </c>
      <c r="F29" s="2">
        <f t="shared" si="3"/>
        <v>1.546830054228146E-34</v>
      </c>
      <c r="G29">
        <f t="shared" si="4"/>
        <v>6.5822553940000006E-4</v>
      </c>
      <c r="H29">
        <f t="shared" si="5"/>
        <v>9.542652357894184E-9</v>
      </c>
      <c r="I29">
        <f t="shared" si="6"/>
        <v>2.2425233572214389E-19</v>
      </c>
      <c r="J29">
        <f t="shared" si="7"/>
        <v>1.5068192742478787E-5</v>
      </c>
      <c r="K29">
        <f t="shared" si="8"/>
        <v>3.5410253783550803E-16</v>
      </c>
      <c r="L29" s="18">
        <f t="shared" si="9"/>
        <v>21845175611.734886</v>
      </c>
      <c r="M29" s="22">
        <f t="shared" si="10"/>
        <v>0.51336163903523013</v>
      </c>
      <c r="N29" s="21">
        <f t="shared" si="11"/>
        <v>4.5173303892035487E-3</v>
      </c>
      <c r="O29">
        <f t="shared" si="12"/>
        <v>4.9293249817633603E-14</v>
      </c>
      <c r="P29">
        <f t="shared" si="13"/>
        <v>3.1157701266678274E-18</v>
      </c>
    </row>
    <row r="30" spans="1:16">
      <c r="A30">
        <f t="shared" si="0"/>
        <v>4.9457000000000001E-7</v>
      </c>
      <c r="B30" s="2">
        <v>0.49457000000000001</v>
      </c>
      <c r="C30" s="2">
        <f t="shared" si="1"/>
        <v>606167879167761.87</v>
      </c>
      <c r="D30" s="2">
        <f t="shared" si="2"/>
        <v>606.16787916776184</v>
      </c>
      <c r="E30" s="2">
        <v>8.355183151666666E-24</v>
      </c>
      <c r="F30" s="2">
        <f t="shared" si="3"/>
        <v>1.9634680871482819E-34</v>
      </c>
      <c r="G30">
        <f t="shared" si="4"/>
        <v>8.3551831516666657E-4</v>
      </c>
      <c r="H30">
        <f t="shared" si="5"/>
        <v>1.0240499122680308E-8</v>
      </c>
      <c r="I30">
        <f t="shared" si="6"/>
        <v>2.4065173508305321E-19</v>
      </c>
      <c r="J30">
        <f t="shared" si="7"/>
        <v>2.0802092523508351E-5</v>
      </c>
      <c r="K30">
        <f t="shared" si="8"/>
        <v>4.8884918588130564E-16</v>
      </c>
      <c r="L30" s="18">
        <f t="shared" si="9"/>
        <v>25496007253.223228</v>
      </c>
      <c r="M30" s="22">
        <f t="shared" si="10"/>
        <v>0.59915618464233189</v>
      </c>
      <c r="N30" s="21">
        <f t="shared" si="11"/>
        <v>6.2363102411450658E-3</v>
      </c>
      <c r="O30">
        <f t="shared" si="12"/>
        <v>7.4011280793467463E-14</v>
      </c>
      <c r="P30">
        <f t="shared" si="13"/>
        <v>5.0879225207415023E-18</v>
      </c>
    </row>
    <row r="31" spans="1:16">
      <c r="A31">
        <f t="shared" si="0"/>
        <v>5.2720000000000001E-7</v>
      </c>
      <c r="B31" s="2">
        <v>0.5272</v>
      </c>
      <c r="C31" s="2">
        <f t="shared" si="1"/>
        <v>568650318664643.37</v>
      </c>
      <c r="D31" s="2">
        <f t="shared" si="2"/>
        <v>568.65031866464335</v>
      </c>
      <c r="E31" s="2">
        <v>9.8490098133333334E-24</v>
      </c>
      <c r="F31" s="2">
        <f t="shared" si="3"/>
        <v>2.3145173609548855E-34</v>
      </c>
      <c r="G31">
        <f t="shared" si="4"/>
        <v>9.8490098133333331E-4</v>
      </c>
      <c r="H31">
        <f t="shared" si="5"/>
        <v>1.0623373613207891E-8</v>
      </c>
      <c r="I31">
        <f t="shared" si="6"/>
        <v>2.4964928582356701E-19</v>
      </c>
      <c r="J31">
        <f t="shared" si="7"/>
        <v>2.6139137423300775E-5</v>
      </c>
      <c r="K31">
        <f t="shared" si="8"/>
        <v>6.1426974399713323E-16</v>
      </c>
      <c r="L31" s="18">
        <f t="shared" si="9"/>
        <v>28194288363.768761</v>
      </c>
      <c r="M31" s="22">
        <f t="shared" si="10"/>
        <v>0.66256579224206891</v>
      </c>
      <c r="N31" s="21">
        <f t="shared" si="11"/>
        <v>7.8363159967397514E-3</v>
      </c>
      <c r="O31">
        <f t="shared" si="12"/>
        <v>9.9135632258761534E-14</v>
      </c>
      <c r="P31">
        <f t="shared" si="13"/>
        <v>7.2647384404278514E-18</v>
      </c>
    </row>
    <row r="32" spans="1:16">
      <c r="A32">
        <f t="shared" si="0"/>
        <v>5.5383999999999994E-7</v>
      </c>
      <c r="B32" s="2">
        <v>0.55384</v>
      </c>
      <c r="C32" s="2">
        <f t="shared" si="1"/>
        <v>541297934421493.56</v>
      </c>
      <c r="D32" s="2">
        <f t="shared" si="2"/>
        <v>541.29793442149355</v>
      </c>
      <c r="E32" s="2">
        <v>1.1525428861333332E-23</v>
      </c>
      <c r="F32" s="2">
        <f t="shared" si="3"/>
        <v>2.7084758465661681E-34</v>
      </c>
      <c r="G32">
        <f t="shared" si="4"/>
        <v>1.1525428861333333E-3</v>
      </c>
      <c r="H32">
        <f t="shared" si="5"/>
        <v>1.1264428058575763E-8</v>
      </c>
      <c r="I32">
        <f t="shared" si="6"/>
        <v>2.6471406564653566E-19</v>
      </c>
      <c r="J32">
        <f t="shared" si="7"/>
        <v>3.2133992894807861E-5</v>
      </c>
      <c r="K32">
        <f t="shared" si="8"/>
        <v>7.5514885091440581E-16</v>
      </c>
      <c r="L32" s="18">
        <f t="shared" si="9"/>
        <v>31406297809.24897</v>
      </c>
      <c r="M32" s="22">
        <f t="shared" si="10"/>
        <v>0.73804801599872227</v>
      </c>
      <c r="N32" s="21">
        <f t="shared" si="11"/>
        <v>9.6335283939490545E-3</v>
      </c>
      <c r="O32">
        <f t="shared" si="12"/>
        <v>1.280301160272946E-13</v>
      </c>
      <c r="P32">
        <f t="shared" si="13"/>
        <v>9.8562397250174009E-18</v>
      </c>
    </row>
    <row r="33" spans="1:16">
      <c r="A33">
        <f t="shared" si="0"/>
        <v>5.8608000000000007E-7</v>
      </c>
      <c r="B33" s="2">
        <v>0.58608000000000005</v>
      </c>
      <c r="C33" s="2">
        <f t="shared" si="1"/>
        <v>511521375921375.87</v>
      </c>
      <c r="D33" s="2">
        <f t="shared" si="2"/>
        <v>511.52137592137586</v>
      </c>
      <c r="E33" s="2">
        <v>1.2816143471999999E-23</v>
      </c>
      <c r="F33" s="2">
        <f t="shared" si="3"/>
        <v>3.0117937872572097E-34</v>
      </c>
      <c r="G33">
        <f t="shared" si="4"/>
        <v>1.2816143472E-3</v>
      </c>
      <c r="H33">
        <f t="shared" si="5"/>
        <v>1.1185727789385748E-8</v>
      </c>
      <c r="I33">
        <f t="shared" si="6"/>
        <v>2.6286460927676417E-19</v>
      </c>
      <c r="J33">
        <f t="shared" si="7"/>
        <v>3.7812687203096487E-5</v>
      </c>
      <c r="K33">
        <f t="shared" si="8"/>
        <v>8.8859817032006317E-16</v>
      </c>
      <c r="L33" s="18">
        <f t="shared" si="9"/>
        <v>33002316723.676834</v>
      </c>
      <c r="M33" s="22">
        <f t="shared" si="10"/>
        <v>0.77555446137615303</v>
      </c>
      <c r="N33" s="21">
        <f t="shared" si="11"/>
        <v>1.1335958062074571E-2</v>
      </c>
      <c r="O33">
        <f t="shared" si="12"/>
        <v>1.5942542028672557E-13</v>
      </c>
      <c r="P33">
        <f t="shared" si="13"/>
        <v>1.2987610994708533E-17</v>
      </c>
    </row>
    <row r="34" spans="1:16">
      <c r="A34">
        <f t="shared" si="0"/>
        <v>6.2588999999999995E-7</v>
      </c>
      <c r="B34" s="2">
        <v>0.62588999999999995</v>
      </c>
      <c r="C34" s="2">
        <f t="shared" si="1"/>
        <v>478985840962469.5</v>
      </c>
      <c r="D34" s="2">
        <f t="shared" si="2"/>
        <v>478.98584096246947</v>
      </c>
      <c r="E34" s="2">
        <v>1.4529765131000001E-23</v>
      </c>
      <c r="F34" s="2">
        <f t="shared" si="3"/>
        <v>3.4144948866605699E-34</v>
      </c>
      <c r="G34">
        <f t="shared" si="4"/>
        <v>1.4529765131000001E-3</v>
      </c>
      <c r="H34">
        <f t="shared" si="5"/>
        <v>1.1119448737412649E-8</v>
      </c>
      <c r="I34">
        <f t="shared" si="6"/>
        <v>2.6130705151850406E-19</v>
      </c>
      <c r="J34">
        <f t="shared" si="7"/>
        <v>4.5780432067849691E-5</v>
      </c>
      <c r="K34">
        <f t="shared" si="8"/>
        <v>1.075840179076769E-15</v>
      </c>
      <c r="L34" s="18">
        <f t="shared" si="9"/>
        <v>35035195886.887779</v>
      </c>
      <c r="M34" s="22">
        <f t="shared" si="10"/>
        <v>0.82332712284315135</v>
      </c>
      <c r="N34" s="21">
        <f t="shared" si="11"/>
        <v>1.3724627800118362E-2</v>
      </c>
      <c r="O34">
        <f t="shared" si="12"/>
        <v>2.0612991637820094E-13</v>
      </c>
      <c r="P34">
        <f t="shared" si="13"/>
        <v>1.7933036817311352E-17</v>
      </c>
    </row>
    <row r="35" spans="1:16">
      <c r="A35">
        <f t="shared" si="0"/>
        <v>6.720699999999999E-7</v>
      </c>
      <c r="B35" s="2">
        <v>0.67206999999999995</v>
      </c>
      <c r="C35" s="2">
        <f t="shared" si="1"/>
        <v>446073248322347.44</v>
      </c>
      <c r="D35" s="2">
        <f t="shared" si="2"/>
        <v>446.07324832234741</v>
      </c>
      <c r="E35" s="2">
        <v>1.6538724204333332E-23</v>
      </c>
      <c r="F35" s="2">
        <f t="shared" si="3"/>
        <v>3.8866002800761694E-34</v>
      </c>
      <c r="G35">
        <f t="shared" si="4"/>
        <v>1.6538724204333331E-3</v>
      </c>
      <c r="H35">
        <f t="shared" si="5"/>
        <v>1.0977253007773598E-8</v>
      </c>
      <c r="I35">
        <f t="shared" si="6"/>
        <v>2.5796545179283737E-19</v>
      </c>
      <c r="J35">
        <f t="shared" si="7"/>
        <v>5.595511530722733E-5</v>
      </c>
      <c r="K35">
        <f t="shared" si="8"/>
        <v>1.3149452408655751E-15</v>
      </c>
      <c r="L35" s="18">
        <f t="shared" si="9"/>
        <v>37139107600.9142</v>
      </c>
      <c r="M35" s="22">
        <f t="shared" si="10"/>
        <v>0.87276904929385146</v>
      </c>
      <c r="N35" s="21">
        <f t="shared" si="11"/>
        <v>1.6774920996075957E-2</v>
      </c>
      <c r="O35">
        <f t="shared" si="12"/>
        <v>2.7053124544403789E-13</v>
      </c>
      <c r="P35">
        <f t="shared" si="13"/>
        <v>2.5272414843454857E-17</v>
      </c>
    </row>
    <row r="36" spans="1:16">
      <c r="A36">
        <f t="shared" si="0"/>
        <v>7.1902999999999989E-7</v>
      </c>
      <c r="B36" s="2">
        <v>0.71902999999999995</v>
      </c>
      <c r="C36" s="2">
        <f t="shared" si="1"/>
        <v>416940110982851.94</v>
      </c>
      <c r="D36" s="2">
        <f t="shared" si="2"/>
        <v>416.94011098285193</v>
      </c>
      <c r="E36" s="2">
        <v>1.9227629165333333E-23</v>
      </c>
      <c r="F36" s="2">
        <f t="shared" si="3"/>
        <v>4.5184929608781504E-34</v>
      </c>
      <c r="G36">
        <f t="shared" si="4"/>
        <v>1.9227629165333333E-3</v>
      </c>
      <c r="H36">
        <f t="shared" si="5"/>
        <v>1.1149423303799845E-8</v>
      </c>
      <c r="I36">
        <f t="shared" si="6"/>
        <v>2.6201145384528764E-19</v>
      </c>
      <c r="J36">
        <f t="shared" si="7"/>
        <v>6.9597882824402115E-5</v>
      </c>
      <c r="K36">
        <f t="shared" si="8"/>
        <v>1.6355502851130188E-15</v>
      </c>
      <c r="L36" s="18">
        <f t="shared" si="9"/>
        <v>40357355032.443359</v>
      </c>
      <c r="M36" s="22">
        <f t="shared" si="10"/>
        <v>0.94839786572612739</v>
      </c>
      <c r="N36" s="21">
        <f t="shared" si="11"/>
        <v>2.0864919667544665E-2</v>
      </c>
      <c r="O36">
        <f t="shared" si="12"/>
        <v>3.6000303860543053E-13</v>
      </c>
      <c r="P36">
        <f t="shared" si="13"/>
        <v>3.5980564893936312E-17</v>
      </c>
    </row>
    <row r="37" spans="1:16">
      <c r="A37">
        <f t="shared" si="0"/>
        <v>7.7207999999999996E-7</v>
      </c>
      <c r="B37" s="2">
        <v>0.77207999999999999</v>
      </c>
      <c r="C37" s="2">
        <f t="shared" si="1"/>
        <v>388291949020826.87</v>
      </c>
      <c r="D37" s="2">
        <f t="shared" si="2"/>
        <v>388.29194902082685</v>
      </c>
      <c r="E37" s="2">
        <v>2.2014085415999999E-23</v>
      </c>
      <c r="F37" s="2">
        <f t="shared" si="3"/>
        <v>5.1733101952947883E-34</v>
      </c>
      <c r="G37">
        <f t="shared" si="4"/>
        <v>2.2014085415999998E-3</v>
      </c>
      <c r="H37">
        <f t="shared" si="5"/>
        <v>1.1071251854846131E-8</v>
      </c>
      <c r="I37">
        <f t="shared" si="6"/>
        <v>2.6017442475136358E-19</v>
      </c>
      <c r="J37">
        <f t="shared" si="7"/>
        <v>8.5563044673296875E-5</v>
      </c>
      <c r="K37">
        <f t="shared" si="8"/>
        <v>2.0107315974485733E-15</v>
      </c>
      <c r="L37" s="18">
        <f t="shared" si="9"/>
        <v>43031086649.505913</v>
      </c>
      <c r="M37" s="22">
        <f t="shared" si="10"/>
        <v>1.0112305602153497</v>
      </c>
      <c r="N37" s="21">
        <f t="shared" si="11"/>
        <v>2.565115462094103E-2</v>
      </c>
      <c r="O37">
        <f t="shared" si="12"/>
        <v>4.7523854750754656E-13</v>
      </c>
      <c r="P37">
        <f t="shared" si="13"/>
        <v>5.1002182708588084E-17</v>
      </c>
    </row>
    <row r="38" spans="1:16">
      <c r="A38">
        <f t="shared" si="0"/>
        <v>8.3970999999999994E-7</v>
      </c>
      <c r="B38" s="2">
        <v>0.83970999999999996</v>
      </c>
      <c r="C38" s="2">
        <f t="shared" si="1"/>
        <v>357019027997761.12</v>
      </c>
      <c r="D38" s="2">
        <f t="shared" si="2"/>
        <v>357.0190279977611</v>
      </c>
      <c r="E38" s="2">
        <v>2.5752926038333332E-23</v>
      </c>
      <c r="F38" s="2">
        <f t="shared" si="3"/>
        <v>6.0519377623542536E-34</v>
      </c>
      <c r="G38">
        <f t="shared" si="4"/>
        <v>2.575292603833333E-3</v>
      </c>
      <c r="H38">
        <f t="shared" si="5"/>
        <v>1.0949357066492003E-8</v>
      </c>
      <c r="I38">
        <f t="shared" si="6"/>
        <v>2.5730989715719251E-19</v>
      </c>
      <c r="J38">
        <f t="shared" si="7"/>
        <v>1.0886272119572397E-4</v>
      </c>
      <c r="K38">
        <f t="shared" si="8"/>
        <v>2.558274008694674E-15</v>
      </c>
      <c r="L38" s="18">
        <f t="shared" si="9"/>
        <v>46285101888.138329</v>
      </c>
      <c r="M38" s="22">
        <f t="shared" si="10"/>
        <v>1.0876999201344613</v>
      </c>
      <c r="N38" s="21">
        <f t="shared" si="11"/>
        <v>3.2636221683207567E-2</v>
      </c>
      <c r="O38">
        <f t="shared" si="12"/>
        <v>6.5761489028379997E-13</v>
      </c>
      <c r="P38">
        <f t="shared" si="13"/>
        <v>7.675660613330914E-17</v>
      </c>
    </row>
    <row r="39" spans="1:16">
      <c r="A39">
        <f t="shared" si="0"/>
        <v>9.2501E-7</v>
      </c>
      <c r="B39" s="2">
        <v>0.92501</v>
      </c>
      <c r="C39" s="2">
        <f t="shared" si="1"/>
        <v>324096440038486.06</v>
      </c>
      <c r="D39" s="2">
        <f t="shared" si="2"/>
        <v>324.09644003848604</v>
      </c>
      <c r="E39" s="2">
        <v>3.1188870506666671E-23</v>
      </c>
      <c r="F39" s="2">
        <f t="shared" si="3"/>
        <v>7.3293847426701395E-34</v>
      </c>
      <c r="G39">
        <f t="shared" si="4"/>
        <v>3.1188870506666669E-3</v>
      </c>
      <c r="H39">
        <f t="shared" si="5"/>
        <v>1.0927667700924315E-8</v>
      </c>
      <c r="I39">
        <f t="shared" si="6"/>
        <v>2.5680019705427914E-19</v>
      </c>
      <c r="J39">
        <f t="shared" si="7"/>
        <v>1.4523435331226619E-4</v>
      </c>
      <c r="K39">
        <f t="shared" si="8"/>
        <v>3.413007383678592E-15</v>
      </c>
      <c r="L39" s="18">
        <f t="shared" si="9"/>
        <v>50885868130.936066</v>
      </c>
      <c r="M39" s="22">
        <f t="shared" si="10"/>
        <v>1.1958179294010862</v>
      </c>
      <c r="N39" s="21">
        <f t="shared" si="11"/>
        <v>4.3540162313181176E-2</v>
      </c>
      <c r="O39">
        <f t="shared" si="12"/>
        <v>9.6644893140423806E-13</v>
      </c>
      <c r="P39">
        <f t="shared" si="13"/>
        <v>1.2426251471931455E-16</v>
      </c>
    </row>
    <row r="40" spans="1:16">
      <c r="A40">
        <f t="shared" si="0"/>
        <v>9.8963999999999985E-7</v>
      </c>
      <c r="B40" s="2">
        <v>0.98963999999999996</v>
      </c>
      <c r="C40" s="2">
        <f t="shared" si="1"/>
        <v>302930811204074.25</v>
      </c>
      <c r="D40" s="2">
        <f t="shared" si="2"/>
        <v>302.93081120407425</v>
      </c>
      <c r="E40" s="2">
        <v>3.563066868E-23</v>
      </c>
      <c r="F40" s="2">
        <f t="shared" si="3"/>
        <v>8.3732073381274059E-34</v>
      </c>
      <c r="G40">
        <f t="shared" si="4"/>
        <v>3.5630668680000002E-3</v>
      </c>
      <c r="H40">
        <f t="shared" si="5"/>
        <v>1.0906619949654421E-8</v>
      </c>
      <c r="I40">
        <f t="shared" si="6"/>
        <v>2.56305574887721E-19</v>
      </c>
      <c r="J40">
        <f t="shared" si="7"/>
        <v>1.7751068245682402E-4</v>
      </c>
      <c r="K40">
        <f t="shared" si="8"/>
        <v>4.1715011365413496E-15</v>
      </c>
      <c r="L40" s="18">
        <f t="shared" si="9"/>
        <v>54336379930.110481</v>
      </c>
      <c r="M40" s="22">
        <f t="shared" si="10"/>
        <v>1.2769049586023087</v>
      </c>
      <c r="N40" s="21">
        <f t="shared" si="11"/>
        <v>5.321636203988192E-2</v>
      </c>
      <c r="O40">
        <f t="shared" si="12"/>
        <v>1.2637607458224637E-12</v>
      </c>
      <c r="P40">
        <f t="shared" si="13"/>
        <v>1.7384287764490828E-16</v>
      </c>
    </row>
    <row r="41" spans="1:16">
      <c r="A41">
        <f t="shared" si="0"/>
        <v>1.13277E-6</v>
      </c>
      <c r="B41" s="2">
        <v>1.1327700000000001</v>
      </c>
      <c r="C41" s="2">
        <f t="shared" si="1"/>
        <v>264654296988797.37</v>
      </c>
      <c r="D41" s="2">
        <f t="shared" si="2"/>
        <v>264.65429698879734</v>
      </c>
      <c r="E41" s="2">
        <v>4.2174537460000006E-23</v>
      </c>
      <c r="F41" s="2">
        <f t="shared" si="3"/>
        <v>9.9110165378518856E-34</v>
      </c>
      <c r="G41">
        <f t="shared" si="4"/>
        <v>4.2174537460000008E-3</v>
      </c>
      <c r="H41">
        <f t="shared" si="5"/>
        <v>9.8534323492889112E-9</v>
      </c>
      <c r="I41">
        <f t="shared" si="6"/>
        <v>2.3155566569290627E-19</v>
      </c>
      <c r="J41">
        <f t="shared" si="7"/>
        <v>2.4050014760871395E-4</v>
      </c>
      <c r="K41">
        <f t="shared" si="8"/>
        <v>5.6517536026719552E-15</v>
      </c>
      <c r="L41" s="18">
        <f t="shared" si="9"/>
        <v>56189162399.327477</v>
      </c>
      <c r="M41" s="22">
        <f t="shared" si="10"/>
        <v>1.3204453476602038</v>
      </c>
      <c r="N41" s="21">
        <f t="shared" si="11"/>
        <v>7.2100127995977689E-2</v>
      </c>
      <c r="O41">
        <f t="shared" si="12"/>
        <v>1.9598381762341062E-12</v>
      </c>
      <c r="P41">
        <f t="shared" si="13"/>
        <v>3.0858637883408647E-16</v>
      </c>
    </row>
    <row r="42" spans="1:16">
      <c r="A42">
        <f t="shared" si="0"/>
        <v>1.2523999999999999E-6</v>
      </c>
      <c r="B42" s="2">
        <v>1.2524</v>
      </c>
      <c r="C42" s="2">
        <f t="shared" si="1"/>
        <v>239374359629511.34</v>
      </c>
      <c r="D42" s="2">
        <f t="shared" si="2"/>
        <v>239.37435962951133</v>
      </c>
      <c r="E42" s="2">
        <v>4.8218652400000006E-23</v>
      </c>
      <c r="F42" s="2">
        <f t="shared" si="3"/>
        <v>1.1331383582394634E-33</v>
      </c>
      <c r="G42">
        <f t="shared" si="4"/>
        <v>4.8218652400000006E-3</v>
      </c>
      <c r="H42">
        <f t="shared" si="5"/>
        <v>9.2161522200958188E-9</v>
      </c>
      <c r="I42">
        <f t="shared" si="6"/>
        <v>2.1657958230214579E-19</v>
      </c>
      <c r="J42">
        <f t="shared" si="7"/>
        <v>3.0400547692933629E-4</v>
      </c>
      <c r="K42">
        <f t="shared" si="8"/>
        <v>7.1441288770549122E-15</v>
      </c>
      <c r="L42" s="18">
        <f t="shared" si="9"/>
        <v>58105330855.816093</v>
      </c>
      <c r="M42" s="22">
        <f t="shared" si="10"/>
        <v>1.3654753074542638</v>
      </c>
      <c r="N42" s="21">
        <f t="shared" si="11"/>
        <v>9.1138546134053255E-2</v>
      </c>
      <c r="O42">
        <f t="shared" si="12"/>
        <v>2.7389720088695345E-12</v>
      </c>
      <c r="P42">
        <f t="shared" si="13"/>
        <v>4.7681010760324043E-16</v>
      </c>
    </row>
    <row r="43" spans="1:16">
      <c r="A43">
        <f t="shared" si="0"/>
        <v>1.4387700000000001E-6</v>
      </c>
      <c r="B43" s="2">
        <v>1.4387700000000001</v>
      </c>
      <c r="C43" s="2">
        <f t="shared" si="1"/>
        <v>208367180299839.44</v>
      </c>
      <c r="D43" s="2">
        <f t="shared" si="2"/>
        <v>208.36718029983945</v>
      </c>
      <c r="E43" s="2">
        <v>5.5475134479999986E-23</v>
      </c>
      <c r="F43" s="2">
        <f t="shared" si="3"/>
        <v>1.3036656911585655E-33</v>
      </c>
      <c r="G43">
        <f t="shared" si="4"/>
        <v>5.5475134479999987E-3</v>
      </c>
      <c r="H43">
        <f t="shared" si="5"/>
        <v>8.0340828265476745E-9</v>
      </c>
      <c r="I43">
        <f t="shared" si="6"/>
        <v>1.8880095089580102E-19</v>
      </c>
      <c r="J43">
        <f t="shared" si="7"/>
        <v>4.0180285441307809E-4</v>
      </c>
      <c r="K43">
        <f t="shared" si="8"/>
        <v>9.4423673023588157E-15</v>
      </c>
      <c r="L43" s="18">
        <f t="shared" si="9"/>
        <v>58190348568.902596</v>
      </c>
      <c r="M43" s="22">
        <f t="shared" si="10"/>
        <v>1.3674732237591192</v>
      </c>
      <c r="N43" s="21">
        <f t="shared" si="11"/>
        <v>0.12045746133788432</v>
      </c>
      <c r="O43">
        <f t="shared" si="12"/>
        <v>4.1587950511986744E-12</v>
      </c>
      <c r="P43">
        <f t="shared" si="13"/>
        <v>8.3171338825802319E-16</v>
      </c>
    </row>
    <row r="44" spans="1:16">
      <c r="A44">
        <f t="shared" si="0"/>
        <v>1.5590999999999998E-6</v>
      </c>
      <c r="B44" s="2">
        <v>1.5590999999999999</v>
      </c>
      <c r="C44" s="2">
        <f t="shared" si="1"/>
        <v>192285580142389.84</v>
      </c>
      <c r="D44" s="2">
        <f t="shared" si="2"/>
        <v>192.28558014238985</v>
      </c>
      <c r="E44" s="2">
        <v>5.9852289900000002E-23</v>
      </c>
      <c r="F44" s="2">
        <f t="shared" si="3"/>
        <v>1.4065288459649779E-33</v>
      </c>
      <c r="G44">
        <f t="shared" si="4"/>
        <v>5.9852289899999999E-3</v>
      </c>
      <c r="H44">
        <f t="shared" si="5"/>
        <v>7.3816511360862042E-9</v>
      </c>
      <c r="I44">
        <f t="shared" si="6"/>
        <v>1.7346880580680001E-19</v>
      </c>
      <c r="J44">
        <f t="shared" si="7"/>
        <v>4.6976215111779599E-4</v>
      </c>
      <c r="K44">
        <f t="shared" si="8"/>
        <v>1.1039410812747184E-14</v>
      </c>
      <c r="L44" s="18">
        <f t="shared" si="9"/>
        <v>57936301556.425125</v>
      </c>
      <c r="M44" s="22">
        <f t="shared" si="10"/>
        <v>1.361503118824491</v>
      </c>
      <c r="N44" s="21">
        <f t="shared" si="11"/>
        <v>0.14083114526134996</v>
      </c>
      <c r="O44">
        <f t="shared" si="12"/>
        <v>5.2688413446975404E-12</v>
      </c>
      <c r="P44">
        <f t="shared" si="13"/>
        <v>1.1418364251319929E-15</v>
      </c>
    </row>
    <row r="45" spans="1:16">
      <c r="A45">
        <f t="shared" si="0"/>
        <v>1.6863999999999999E-6</v>
      </c>
      <c r="B45" s="2">
        <v>1.6863999999999999</v>
      </c>
      <c r="C45" s="2">
        <f t="shared" si="1"/>
        <v>177770664136622.41</v>
      </c>
      <c r="D45" s="2">
        <f t="shared" si="2"/>
        <v>177.7706641366224</v>
      </c>
      <c r="E45" s="2">
        <v>6.3895447466666659E-23</v>
      </c>
      <c r="F45" s="2">
        <f t="shared" si="3"/>
        <v>1.5015430510321464E-33</v>
      </c>
      <c r="G45">
        <f t="shared" si="4"/>
        <v>6.3895447466666656E-3</v>
      </c>
      <c r="H45">
        <f t="shared" si="5"/>
        <v>6.7354934365844404E-9</v>
      </c>
      <c r="I45">
        <f t="shared" si="6"/>
        <v>1.5828409950884426E-19</v>
      </c>
      <c r="J45">
        <f t="shared" si="7"/>
        <v>5.4244260093755739E-4</v>
      </c>
      <c r="K45">
        <f t="shared" si="8"/>
        <v>1.2747401423966964E-14</v>
      </c>
      <c r="L45" s="18">
        <f t="shared" si="9"/>
        <v>57181203406.467278</v>
      </c>
      <c r="M45" s="22">
        <f t="shared" si="10"/>
        <v>1.3437583118801788</v>
      </c>
      <c r="N45" s="21">
        <f t="shared" si="11"/>
        <v>0.16262019523455742</v>
      </c>
      <c r="O45">
        <f t="shared" si="12"/>
        <v>6.5807820923077217E-12</v>
      </c>
      <c r="P45">
        <f t="shared" si="13"/>
        <v>1.5425984979450159E-15</v>
      </c>
    </row>
    <row r="46" spans="1:16">
      <c r="A46">
        <f t="shared" si="0"/>
        <v>1.8174599999999999E-6</v>
      </c>
      <c r="B46" s="2">
        <v>1.8174600000000001</v>
      </c>
      <c r="C46" s="2">
        <f t="shared" si="1"/>
        <v>164951332078835.28</v>
      </c>
      <c r="D46" s="2">
        <f t="shared" si="2"/>
        <v>164.95133207883526</v>
      </c>
      <c r="E46" s="2">
        <v>6.5913821819999989E-23</v>
      </c>
      <c r="F46" s="2">
        <f t="shared" si="3"/>
        <v>1.5489748494589471E-33</v>
      </c>
      <c r="G46">
        <f t="shared" si="4"/>
        <v>6.5913821819999991E-3</v>
      </c>
      <c r="H46">
        <f t="shared" si="5"/>
        <v>5.9822899605031176E-9</v>
      </c>
      <c r="I46">
        <f t="shared" si="6"/>
        <v>1.4058381740168512E-19</v>
      </c>
      <c r="J46">
        <f t="shared" si="7"/>
        <v>6.0306570981117681E-4</v>
      </c>
      <c r="K46">
        <f t="shared" si="8"/>
        <v>1.4172044516241052E-14</v>
      </c>
      <c r="L46" s="18">
        <f t="shared" si="9"/>
        <v>54733800009.035637</v>
      </c>
      <c r="M46" s="22">
        <f t="shared" si="10"/>
        <v>1.2862443306782618</v>
      </c>
      <c r="N46" s="21">
        <f t="shared" si="11"/>
        <v>0.18079454544915025</v>
      </c>
      <c r="O46">
        <f t="shared" si="12"/>
        <v>7.8848352574902342E-12</v>
      </c>
      <c r="P46">
        <f t="shared" si="13"/>
        <v>1.9919218035038696E-15</v>
      </c>
    </row>
    <row r="47" spans="1:16">
      <c r="A47">
        <f t="shared" si="0"/>
        <v>1.9875099999999999E-6</v>
      </c>
      <c r="B47" s="2">
        <v>1.9875100000000001</v>
      </c>
      <c r="C47" s="2">
        <f t="shared" si="1"/>
        <v>150838208612786.84</v>
      </c>
      <c r="D47" s="2">
        <f t="shared" si="2"/>
        <v>150.83820861278684</v>
      </c>
      <c r="E47" s="2">
        <v>6.7013537173333349E-23</v>
      </c>
      <c r="F47" s="2">
        <f t="shared" si="3"/>
        <v>1.5748181608744045E-33</v>
      </c>
      <c r="G47">
        <f t="shared" si="4"/>
        <v>6.7013537173333353E-3</v>
      </c>
      <c r="H47">
        <f t="shared" si="5"/>
        <v>5.0858621592002063E-9</v>
      </c>
      <c r="I47">
        <f t="shared" si="6"/>
        <v>1.1951776357209712E-19</v>
      </c>
      <c r="J47">
        <f t="shared" si="7"/>
        <v>6.7049438400943221E-4</v>
      </c>
      <c r="K47">
        <f t="shared" si="8"/>
        <v>1.5756618397432198E-14</v>
      </c>
      <c r="L47" s="18">
        <f t="shared" si="9"/>
        <v>50885868130.936073</v>
      </c>
      <c r="M47" s="22">
        <f t="shared" si="10"/>
        <v>1.1958179294010864</v>
      </c>
      <c r="N47" s="21">
        <f t="shared" si="11"/>
        <v>0.20100915275243969</v>
      </c>
      <c r="O47">
        <f t="shared" si="12"/>
        <v>9.5866659427417281E-12</v>
      </c>
      <c r="P47">
        <f t="shared" si="13"/>
        <v>2.648449625472347E-15</v>
      </c>
    </row>
    <row r="48" spans="1:16">
      <c r="A48">
        <f t="shared" si="0"/>
        <v>2.1893999999999997E-6</v>
      </c>
      <c r="B48" s="2">
        <v>2.1894</v>
      </c>
      <c r="C48" s="2">
        <f t="shared" si="1"/>
        <v>136929043573581.8</v>
      </c>
      <c r="D48" s="2">
        <f t="shared" si="2"/>
        <v>136.92904357358179</v>
      </c>
      <c r="E48" s="2">
        <v>6.8132449460000001E-23</v>
      </c>
      <c r="F48" s="2">
        <f t="shared" si="3"/>
        <v>1.6011126002338796E-33</v>
      </c>
      <c r="G48">
        <f t="shared" si="4"/>
        <v>6.8132449460000001E-3</v>
      </c>
      <c r="H48">
        <f t="shared" si="5"/>
        <v>4.261126857076459E-9</v>
      </c>
      <c r="I48">
        <f t="shared" si="6"/>
        <v>1.0013648351312495E-19</v>
      </c>
      <c r="J48">
        <f t="shared" si="7"/>
        <v>7.5093508661876651E-4</v>
      </c>
      <c r="K48">
        <f t="shared" si="8"/>
        <v>1.7646974953526451E-14</v>
      </c>
      <c r="L48" s="18">
        <f t="shared" si="9"/>
        <v>46964841142.117691</v>
      </c>
      <c r="M48" s="22">
        <f t="shared" si="10"/>
        <v>1.1036737929813327</v>
      </c>
      <c r="N48" s="21">
        <f t="shared" si="11"/>
        <v>0.22512466790653193</v>
      </c>
      <c r="O48">
        <f t="shared" si="12"/>
        <v>1.1827436842446834E-11</v>
      </c>
      <c r="P48">
        <f t="shared" si="13"/>
        <v>3.5994036409765808E-15</v>
      </c>
    </row>
    <row r="49" spans="1:16">
      <c r="A49">
        <f t="shared" si="0"/>
        <v>2.3811699999999998E-6</v>
      </c>
      <c r="B49" s="2">
        <v>2.38117</v>
      </c>
      <c r="C49" s="2">
        <f t="shared" si="1"/>
        <v>125901320779280.77</v>
      </c>
      <c r="D49" s="2">
        <f t="shared" si="2"/>
        <v>125.90132077928077</v>
      </c>
      <c r="E49" s="2">
        <v>6.9293634446666668E-23</v>
      </c>
      <c r="F49" s="2">
        <f t="shared" si="3"/>
        <v>1.6284004480668851E-33</v>
      </c>
      <c r="G49">
        <f t="shared" si="4"/>
        <v>6.9293634446666672E-3</v>
      </c>
      <c r="H49">
        <f t="shared" si="5"/>
        <v>3.6638123688909233E-9</v>
      </c>
      <c r="I49">
        <f t="shared" si="6"/>
        <v>8.6099592708287712E-20</v>
      </c>
      <c r="J49">
        <f t="shared" si="7"/>
        <v>8.3062887283729011E-4</v>
      </c>
      <c r="K49">
        <f t="shared" si="8"/>
        <v>1.9519778974020908E-14</v>
      </c>
      <c r="L49" s="18">
        <f t="shared" si="9"/>
        <v>43918440164.969353</v>
      </c>
      <c r="M49" s="22">
        <f t="shared" si="10"/>
        <v>1.0320833683226591</v>
      </c>
      <c r="N49" s="21">
        <f t="shared" si="11"/>
        <v>0.24901626316737185</v>
      </c>
      <c r="O49">
        <f t="shared" si="12"/>
        <v>1.4228546995807973E-11</v>
      </c>
      <c r="P49">
        <f t="shared" si="13"/>
        <v>4.7094019057511218E-15</v>
      </c>
    </row>
    <row r="50" spans="1:16">
      <c r="A50">
        <f t="shared" si="0"/>
        <v>2.9969399999999999E-6</v>
      </c>
      <c r="B50" s="2">
        <v>2.9969399999999999</v>
      </c>
      <c r="C50" s="2">
        <f t="shared" si="1"/>
        <v>100032849506496.62</v>
      </c>
      <c r="D50" s="2">
        <f t="shared" si="2"/>
        <v>100.03284950649662</v>
      </c>
      <c r="E50" s="2">
        <v>7.2683187451999993E-23</v>
      </c>
      <c r="F50" s="2">
        <f t="shared" si="3"/>
        <v>1.7080549455789112E-33</v>
      </c>
      <c r="G50">
        <f t="shared" si="4"/>
        <v>7.2683187451999991E-3</v>
      </c>
      <c r="H50">
        <f t="shared" si="5"/>
        <v>2.4260433482279929E-9</v>
      </c>
      <c r="I50">
        <f t="shared" si="6"/>
        <v>5.7012020033741929E-20</v>
      </c>
      <c r="J50">
        <f t="shared" si="7"/>
        <v>1.0965673055975532E-3</v>
      </c>
      <c r="K50">
        <f t="shared" si="8"/>
        <v>2.5769332291913728E-14</v>
      </c>
      <c r="L50" s="18">
        <f t="shared" si="9"/>
        <v>36601584367.583122</v>
      </c>
      <c r="M50" s="22">
        <f t="shared" si="10"/>
        <v>0.860137253011375</v>
      </c>
      <c r="N50" s="21">
        <f t="shared" si="11"/>
        <v>0.32874259694185465</v>
      </c>
      <c r="O50">
        <f t="shared" si="12"/>
        <v>2.3641578414955906E-11</v>
      </c>
      <c r="P50">
        <f t="shared" si="13"/>
        <v>9.848482490073595E-15</v>
      </c>
    </row>
    <row r="51" spans="1:16">
      <c r="A51">
        <f t="shared" si="0"/>
        <v>3.3134399999999997E-6</v>
      </c>
      <c r="B51" s="2">
        <v>3.3134399999999999</v>
      </c>
      <c r="C51" s="2">
        <f t="shared" si="1"/>
        <v>90477705345501.953</v>
      </c>
      <c r="D51" s="2">
        <f t="shared" si="2"/>
        <v>90.477705345501946</v>
      </c>
      <c r="E51" s="2">
        <v>7.0786233648000011E-23</v>
      </c>
      <c r="F51" s="2">
        <f t="shared" si="3"/>
        <v>1.6634765301290294E-33</v>
      </c>
      <c r="G51">
        <f t="shared" si="4"/>
        <v>7.078623364800001E-3</v>
      </c>
      <c r="H51">
        <f t="shared" si="5"/>
        <v>1.9329083944545853E-9</v>
      </c>
      <c r="I51">
        <f t="shared" si="6"/>
        <v>4.5423348345578115E-20</v>
      </c>
      <c r="J51">
        <f t="shared" si="7"/>
        <v>1.1807316267223435E-3</v>
      </c>
      <c r="K51">
        <f t="shared" si="8"/>
        <v>2.774719388519384E-14</v>
      </c>
      <c r="L51" s="18">
        <f t="shared" si="9"/>
        <v>32241383038.382885</v>
      </c>
      <c r="M51" s="22">
        <f t="shared" si="10"/>
        <v>0.75767251934819446</v>
      </c>
      <c r="N51" s="21">
        <f t="shared" si="11"/>
        <v>0.35397442480611346</v>
      </c>
      <c r="O51">
        <f t="shared" si="12"/>
        <v>2.8144493296764698E-11</v>
      </c>
      <c r="P51">
        <f t="shared" si="13"/>
        <v>1.2962457491823249E-14</v>
      </c>
    </row>
    <row r="52" spans="1:16">
      <c r="A52">
        <f t="shared" si="0"/>
        <v>3.5644199999999998E-6</v>
      </c>
      <c r="B52" s="2">
        <v>3.5644200000000001</v>
      </c>
      <c r="C52" s="2">
        <f t="shared" si="1"/>
        <v>84106936892958.734</v>
      </c>
      <c r="D52" s="2">
        <f t="shared" si="2"/>
        <v>84.106936892958728</v>
      </c>
      <c r="E52" s="2">
        <v>6.9769838265999985E-23</v>
      </c>
      <c r="F52" s="2">
        <f t="shared" si="3"/>
        <v>1.6395912380862827E-33</v>
      </c>
      <c r="G52">
        <f t="shared" si="4"/>
        <v>6.9769838265999985E-3</v>
      </c>
      <c r="H52">
        <f t="shared" si="5"/>
        <v>1.646306379178211E-9</v>
      </c>
      <c r="I52">
        <f t="shared" si="6"/>
        <v>3.8688200827054914E-20</v>
      </c>
      <c r="J52">
        <f t="shared" si="7"/>
        <v>1.2519294862226968E-3</v>
      </c>
      <c r="K52">
        <f t="shared" si="8"/>
        <v>2.9420343623082288E-14</v>
      </c>
      <c r="L52" s="18">
        <f t="shared" si="9"/>
        <v>29540838142.577644</v>
      </c>
      <c r="M52" s="22">
        <f t="shared" si="10"/>
        <v>0.69420971279359411</v>
      </c>
      <c r="N52" s="21">
        <f t="shared" si="11"/>
        <v>0.37531900539808444</v>
      </c>
      <c r="O52">
        <f t="shared" si="12"/>
        <v>3.2101983508781145E-11</v>
      </c>
      <c r="P52">
        <f t="shared" si="13"/>
        <v>1.5905068336113386E-14</v>
      </c>
    </row>
    <row r="53" spans="1:16">
      <c r="A53">
        <f t="shared" si="0"/>
        <v>3.7172499999999999E-6</v>
      </c>
      <c r="B53" s="2">
        <v>3.7172499999999999</v>
      </c>
      <c r="C53" s="2">
        <f t="shared" si="1"/>
        <v>80648987288990.516</v>
      </c>
      <c r="D53" s="2">
        <f t="shared" si="2"/>
        <v>80.648987288990512</v>
      </c>
      <c r="E53" s="2">
        <v>6.8439652741666676E-23</v>
      </c>
      <c r="F53" s="2">
        <f t="shared" si="3"/>
        <v>1.6083318775240423E-33</v>
      </c>
      <c r="G53">
        <f t="shared" si="4"/>
        <v>6.8439652741666673E-3</v>
      </c>
      <c r="H53">
        <f t="shared" si="5"/>
        <v>1.4848580762729439E-9</v>
      </c>
      <c r="I53">
        <f t="shared" si="6"/>
        <v>3.48941656189158E-20</v>
      </c>
      <c r="J53">
        <f t="shared" si="7"/>
        <v>1.2807160367715893E-3</v>
      </c>
      <c r="K53">
        <f t="shared" si="8"/>
        <v>3.0096827577004436E-14</v>
      </c>
      <c r="L53" s="18">
        <f t="shared" si="9"/>
        <v>27786253647.292549</v>
      </c>
      <c r="M53" s="22">
        <f t="shared" si="10"/>
        <v>0.65297697617775763</v>
      </c>
      <c r="N53" s="21">
        <f t="shared" si="11"/>
        <v>0.3839489958566128</v>
      </c>
      <c r="O53">
        <f t="shared" si="12"/>
        <v>3.4248199523095189E-11</v>
      </c>
      <c r="P53">
        <f t="shared" si="13"/>
        <v>1.7695967635134353E-14</v>
      </c>
    </row>
    <row r="54" spans="1:16">
      <c r="A54">
        <f t="shared" si="0"/>
        <v>3.8554699999999994E-6</v>
      </c>
      <c r="B54" s="2">
        <v>3.85547</v>
      </c>
      <c r="C54" s="2">
        <f t="shared" si="1"/>
        <v>77757691798924.641</v>
      </c>
      <c r="D54" s="2">
        <f t="shared" si="2"/>
        <v>77.75769179892464</v>
      </c>
      <c r="E54" s="2">
        <v>6.7060888539000003E-23</v>
      </c>
      <c r="F54" s="2">
        <f t="shared" si="3"/>
        <v>1.5759309179939275E-33</v>
      </c>
      <c r="G54">
        <f t="shared" si="4"/>
        <v>6.7060888539E-3</v>
      </c>
      <c r="H54">
        <f t="shared" si="5"/>
        <v>1.3524939638429558E-9</v>
      </c>
      <c r="I54">
        <f t="shared" si="6"/>
        <v>3.1783608903134566E-20</v>
      </c>
      <c r="J54">
        <f t="shared" si="7"/>
        <v>1.3015771384569956E-3</v>
      </c>
      <c r="K54">
        <f t="shared" si="8"/>
        <v>3.058706347822318E-14</v>
      </c>
      <c r="L54" s="18">
        <f t="shared" si="9"/>
        <v>26250401114.433605</v>
      </c>
      <c r="M54" s="22">
        <f t="shared" si="10"/>
        <v>0.61688444080068638</v>
      </c>
      <c r="N54" s="21">
        <f t="shared" si="11"/>
        <v>0.39020299659885749</v>
      </c>
      <c r="O54">
        <f t="shared" si="12"/>
        <v>3.6100263105864022E-11</v>
      </c>
      <c r="P54">
        <f t="shared" si="13"/>
        <v>1.9346503914150413E-14</v>
      </c>
    </row>
    <row r="55" spans="1:16">
      <c r="A55">
        <f t="shared" si="0"/>
        <v>4.0873799999999995E-6</v>
      </c>
      <c r="B55" s="2">
        <v>4.0873799999999996</v>
      </c>
      <c r="C55" s="2">
        <f t="shared" si="1"/>
        <v>73345871438427.562</v>
      </c>
      <c r="D55" s="2">
        <f t="shared" si="2"/>
        <v>73.345871438427565</v>
      </c>
      <c r="E55" s="2">
        <v>6.5044930367999997E-23</v>
      </c>
      <c r="F55" s="2">
        <f t="shared" si="3"/>
        <v>1.5285558998533051E-33</v>
      </c>
      <c r="G55">
        <f t="shared" si="4"/>
        <v>6.5044930367999998E-3</v>
      </c>
      <c r="H55">
        <f t="shared" si="5"/>
        <v>1.1671968597225609E-9</v>
      </c>
      <c r="I55">
        <f t="shared" si="6"/>
        <v>2.7429126853165222E-20</v>
      </c>
      <c r="J55">
        <f t="shared" si="7"/>
        <v>1.3383871211612984E-3</v>
      </c>
      <c r="K55">
        <f t="shared" si="8"/>
        <v>3.145209809226347E-14</v>
      </c>
      <c r="L55" s="18">
        <f t="shared" si="9"/>
        <v>24016648739.178589</v>
      </c>
      <c r="M55" s="22">
        <f t="shared" si="10"/>
        <v>0.56439125873884233</v>
      </c>
      <c r="N55" s="21">
        <f t="shared" si="11"/>
        <v>0.40123835142461822</v>
      </c>
      <c r="O55">
        <f t="shared" si="12"/>
        <v>3.9354091551151012E-11</v>
      </c>
      <c r="P55">
        <f t="shared" si="13"/>
        <v>2.2358862614683758E-14</v>
      </c>
    </row>
    <row r="56" spans="1:16">
      <c r="A56">
        <f t="shared" si="0"/>
        <v>4.3570399999999994E-6</v>
      </c>
      <c r="B56" s="2">
        <v>4.3570399999999996</v>
      </c>
      <c r="C56" s="2">
        <f t="shared" si="1"/>
        <v>68806448414519.953</v>
      </c>
      <c r="D56" s="2">
        <f t="shared" si="2"/>
        <v>68.806448414519949</v>
      </c>
      <c r="E56" s="2">
        <v>6.3067137357333337E-23</v>
      </c>
      <c r="F56" s="2">
        <f t="shared" si="3"/>
        <v>1.4820777630017596E-33</v>
      </c>
      <c r="G56">
        <f t="shared" si="4"/>
        <v>6.3067137357333339E-3</v>
      </c>
      <c r="H56">
        <f t="shared" si="5"/>
        <v>9.9595728596221324E-10</v>
      </c>
      <c r="I56">
        <f t="shared" si="6"/>
        <v>2.3404996774481692E-20</v>
      </c>
      <c r="J56">
        <f t="shared" si="7"/>
        <v>1.3833049974320115E-3</v>
      </c>
      <c r="K56">
        <f t="shared" si="8"/>
        <v>3.2507668209627412E-14</v>
      </c>
      <c r="L56" s="18">
        <f t="shared" si="9"/>
        <v>21845175611.73489</v>
      </c>
      <c r="M56" s="22">
        <f t="shared" si="10"/>
        <v>0.51336163903523024</v>
      </c>
      <c r="N56" s="21">
        <f t="shared" si="11"/>
        <v>0.41470439151077648</v>
      </c>
      <c r="O56">
        <f t="shared" si="12"/>
        <v>4.335833734855386E-11</v>
      </c>
      <c r="P56">
        <f t="shared" si="13"/>
        <v>2.6259047412398888E-14</v>
      </c>
    </row>
    <row r="57" spans="1:16">
      <c r="A57">
        <f t="shared" si="0"/>
        <v>4.5855199999999993E-6</v>
      </c>
      <c r="B57" s="2">
        <v>4.5855199999999998</v>
      </c>
      <c r="C57" s="2">
        <f t="shared" si="1"/>
        <v>65378070098920.078</v>
      </c>
      <c r="D57" s="2">
        <f t="shared" si="2"/>
        <v>65.378070098920077</v>
      </c>
      <c r="E57" s="2">
        <v>6.1618077850666661E-23</v>
      </c>
      <c r="F57" s="2">
        <f t="shared" si="3"/>
        <v>1.4480248637885172E-33</v>
      </c>
      <c r="G57">
        <f t="shared" si="4"/>
        <v>6.1618077850666662E-3</v>
      </c>
      <c r="H57">
        <f t="shared" si="5"/>
        <v>8.7851999622324189E-10</v>
      </c>
      <c r="I57">
        <f t="shared" si="6"/>
        <v>2.0645220400247928E-20</v>
      </c>
      <c r="J57">
        <f t="shared" si="7"/>
        <v>1.4223943508718266E-3</v>
      </c>
      <c r="K57">
        <f t="shared" si="8"/>
        <v>3.3426268037220981E-14</v>
      </c>
      <c r="L57" s="18">
        <f t="shared" si="9"/>
        <v>20279793257.821625</v>
      </c>
      <c r="M57" s="22">
        <f t="shared" si="10"/>
        <v>0.47657515284694546</v>
      </c>
      <c r="N57" s="21">
        <f t="shared" si="11"/>
        <v>0.42642308446923571</v>
      </c>
      <c r="O57">
        <f t="shared" si="12"/>
        <v>4.6921483860511714E-11</v>
      </c>
      <c r="P57">
        <f t="shared" si="13"/>
        <v>2.9907156971415457E-14</v>
      </c>
    </row>
    <row r="58" spans="1:16">
      <c r="A58">
        <f t="shared" si="0"/>
        <v>4.9238600000000002E-6</v>
      </c>
      <c r="B58" s="2">
        <v>4.9238600000000003</v>
      </c>
      <c r="C58" s="2">
        <f t="shared" si="1"/>
        <v>60885656375282.805</v>
      </c>
      <c r="D58" s="2">
        <f t="shared" si="2"/>
        <v>60.885656375282807</v>
      </c>
      <c r="E58" s="2">
        <v>6.0270180072666666E-23</v>
      </c>
      <c r="F58" s="2">
        <f t="shared" si="3"/>
        <v>1.4163492652552505E-33</v>
      </c>
      <c r="G58">
        <f t="shared" si="4"/>
        <v>6.0270180072666667E-3</v>
      </c>
      <c r="H58">
        <f t="shared" si="5"/>
        <v>7.4526681781789077E-10</v>
      </c>
      <c r="I58">
        <f t="shared" si="6"/>
        <v>1.7513770633550801E-20</v>
      </c>
      <c r="J58">
        <f t="shared" si="7"/>
        <v>1.4939341860423121E-3</v>
      </c>
      <c r="K58">
        <f t="shared" si="8"/>
        <v>3.5107454203547891E-14</v>
      </c>
      <c r="L58" s="18">
        <f t="shared" si="9"/>
        <v>18473141701.563412</v>
      </c>
      <c r="M58" s="22">
        <f t="shared" si="10"/>
        <v>0.43411884026925918</v>
      </c>
      <c r="N58" s="21">
        <f t="shared" si="11"/>
        <v>0.44787018678451213</v>
      </c>
      <c r="O58">
        <f t="shared" si="12"/>
        <v>5.2917618223528737E-11</v>
      </c>
      <c r="P58">
        <f t="shared" si="13"/>
        <v>3.6217693169588486E-14</v>
      </c>
    </row>
    <row r="59" spans="1:16">
      <c r="A59">
        <f t="shared" si="0"/>
        <v>5.2679E-6</v>
      </c>
      <c r="B59" s="2">
        <v>5.2679</v>
      </c>
      <c r="C59" s="2">
        <f t="shared" si="1"/>
        <v>56909289849845.289</v>
      </c>
      <c r="D59" s="2">
        <f t="shared" si="2"/>
        <v>56.909289849845287</v>
      </c>
      <c r="E59" s="2">
        <v>5.933938156666667E-23</v>
      </c>
      <c r="F59" s="2">
        <f t="shared" si="3"/>
        <v>1.3944754998461497E-33</v>
      </c>
      <c r="G59">
        <f t="shared" si="4"/>
        <v>5.9339381566666672E-3</v>
      </c>
      <c r="H59">
        <f t="shared" si="5"/>
        <v>6.4104521063194069E-10</v>
      </c>
      <c r="I59">
        <f t="shared" si="6"/>
        <v>1.5064562806669152E-20</v>
      </c>
      <c r="J59">
        <f t="shared" si="7"/>
        <v>1.5736343183428579E-3</v>
      </c>
      <c r="K59">
        <f t="shared" si="8"/>
        <v>3.6980407356973399E-14</v>
      </c>
      <c r="L59" s="18">
        <f t="shared" si="9"/>
        <v>17000021173.567724</v>
      </c>
      <c r="M59" s="22">
        <f t="shared" si="10"/>
        <v>0.39950050704139223</v>
      </c>
      <c r="N59" s="21">
        <f t="shared" si="11"/>
        <v>0.47176368455281664</v>
      </c>
      <c r="O59">
        <f t="shared" si="12"/>
        <v>5.963544545184564E-11</v>
      </c>
      <c r="P59">
        <f t="shared" si="13"/>
        <v>4.3667345270313094E-14</v>
      </c>
    </row>
    <row r="60" spans="1:16">
      <c r="A60">
        <f t="shared" si="0"/>
        <v>5.6462700000000001E-6</v>
      </c>
      <c r="B60" s="2">
        <v>5.6462700000000003</v>
      </c>
      <c r="C60" s="2">
        <f t="shared" si="1"/>
        <v>53095662800397.43</v>
      </c>
      <c r="D60" s="2">
        <f t="shared" si="2"/>
        <v>53.095662800397427</v>
      </c>
      <c r="E60" s="2">
        <v>5.8871963408999996E-23</v>
      </c>
      <c r="F60" s="2">
        <f t="shared" si="3"/>
        <v>1.3834911728808086E-33</v>
      </c>
      <c r="G60">
        <f t="shared" si="4"/>
        <v>5.8871963409E-3</v>
      </c>
      <c r="H60">
        <f t="shared" si="5"/>
        <v>5.5361254732090386E-10</v>
      </c>
      <c r="I60">
        <f t="shared" si="6"/>
        <v>1.3009895170193019E-20</v>
      </c>
      <c r="J60">
        <f t="shared" si="7"/>
        <v>1.6733756386835728E-3</v>
      </c>
      <c r="K60">
        <f t="shared" si="8"/>
        <v>3.9324328440498207E-14</v>
      </c>
      <c r="L60" s="18">
        <f t="shared" si="9"/>
        <v>15735873178.211929</v>
      </c>
      <c r="M60" s="22">
        <f t="shared" si="10"/>
        <v>0.36979302844688111</v>
      </c>
      <c r="N60" s="21">
        <f t="shared" si="11"/>
        <v>0.50166537914451181</v>
      </c>
      <c r="O60">
        <f t="shared" si="12"/>
        <v>6.7970147318659556E-11</v>
      </c>
      <c r="P60">
        <f t="shared" si="13"/>
        <v>5.3345114714428973E-14</v>
      </c>
    </row>
    <row r="61" spans="1:16">
      <c r="A61">
        <f t="shared" si="0"/>
        <v>5.9968399999999993E-6</v>
      </c>
      <c r="B61" s="2">
        <v>5.9968399999999997</v>
      </c>
      <c r="C61" s="2">
        <f t="shared" si="1"/>
        <v>49991736981476.914</v>
      </c>
      <c r="D61" s="2">
        <f t="shared" si="2"/>
        <v>49.991736981476912</v>
      </c>
      <c r="E61" s="2">
        <v>5.7123299209333335E-23</v>
      </c>
      <c r="F61" s="2">
        <f t="shared" si="3"/>
        <v>1.3423975632153005E-33</v>
      </c>
      <c r="G61">
        <f t="shared" si="4"/>
        <v>5.7123299209333334E-3</v>
      </c>
      <c r="H61">
        <f t="shared" si="5"/>
        <v>4.7619962339952386E-10</v>
      </c>
      <c r="I61">
        <f t="shared" si="6"/>
        <v>1.1190691414951013E-20</v>
      </c>
      <c r="J61">
        <f t="shared" si="7"/>
        <v>1.7244834252436155E-3</v>
      </c>
      <c r="K61">
        <f t="shared" si="8"/>
        <v>4.0525361453106817E-14</v>
      </c>
      <c r="L61" s="18">
        <f t="shared" si="9"/>
        <v>14375891606.862156</v>
      </c>
      <c r="M61" s="22">
        <f t="shared" si="10"/>
        <v>0.33783346076316856</v>
      </c>
      <c r="N61" s="21">
        <f t="shared" si="11"/>
        <v>0.51698710758920852</v>
      </c>
      <c r="O61">
        <f t="shared" si="12"/>
        <v>7.4395148222029067E-11</v>
      </c>
      <c r="P61">
        <f t="shared" si="13"/>
        <v>6.201287629226719E-14</v>
      </c>
    </row>
    <row r="62" spans="1:16">
      <c r="A62">
        <f t="shared" si="0"/>
        <v>6.4865099999999995E-6</v>
      </c>
      <c r="B62" s="2">
        <v>6.48651</v>
      </c>
      <c r="C62" s="2">
        <f t="shared" si="1"/>
        <v>46217834860348.633</v>
      </c>
      <c r="D62" s="2">
        <f t="shared" si="2"/>
        <v>46.217834860348631</v>
      </c>
      <c r="E62" s="2">
        <v>5.9924541550000004E-23</v>
      </c>
      <c r="F62" s="2">
        <f t="shared" si="3"/>
        <v>1.4082267597801948E-33</v>
      </c>
      <c r="G62">
        <f t="shared" si="4"/>
        <v>5.9924541550000002E-3</v>
      </c>
      <c r="H62">
        <f t="shared" si="5"/>
        <v>4.2697576438485412E-10</v>
      </c>
      <c r="I62">
        <f t="shared" si="6"/>
        <v>1.0033930700707295E-20</v>
      </c>
      <c r="J62">
        <f t="shared" si="7"/>
        <v>1.9567668955082006E-3</v>
      </c>
      <c r="K62">
        <f t="shared" si="8"/>
        <v>4.5984023133618186E-14</v>
      </c>
      <c r="L62" s="18">
        <f t="shared" si="9"/>
        <v>13942401882.799084</v>
      </c>
      <c r="M62" s="22">
        <f t="shared" si="10"/>
        <v>0.32764645200639736</v>
      </c>
      <c r="N62" s="21">
        <f t="shared" si="11"/>
        <v>0.58662393776976363</v>
      </c>
      <c r="O62">
        <f t="shared" si="12"/>
        <v>9.1308942181074698E-11</v>
      </c>
      <c r="P62">
        <f t="shared" si="13"/>
        <v>8.2326414950027829E-14</v>
      </c>
    </row>
    <row r="63" spans="1:16">
      <c r="A63">
        <f t="shared" si="0"/>
        <v>6.8516199999999995E-6</v>
      </c>
      <c r="B63" s="2">
        <v>6.8516199999999996</v>
      </c>
      <c r="C63" s="2">
        <f t="shared" si="1"/>
        <v>43754972984491.258</v>
      </c>
      <c r="D63" s="2">
        <f t="shared" si="2"/>
        <v>43.754972984491253</v>
      </c>
      <c r="E63" s="2">
        <v>5.9019397905333332E-23</v>
      </c>
      <c r="F63" s="2">
        <f t="shared" si="3"/>
        <v>1.386955883626707E-33</v>
      </c>
      <c r="G63">
        <f t="shared" si="4"/>
        <v>5.9019397905333334E-3</v>
      </c>
      <c r="H63">
        <f t="shared" si="5"/>
        <v>3.7690242029020876E-10</v>
      </c>
      <c r="I63">
        <f t="shared" si="6"/>
        <v>8.857207086611309E-21</v>
      </c>
      <c r="J63">
        <f t="shared" si="7"/>
        <v>2.0356885004719533E-3</v>
      </c>
      <c r="K63">
        <f t="shared" si="8"/>
        <v>4.7838680894195709E-14</v>
      </c>
      <c r="L63" s="18">
        <f t="shared" si="9"/>
        <v>13000063538.694475</v>
      </c>
      <c r="M63" s="22">
        <f t="shared" si="10"/>
        <v>0.30550150039541474</v>
      </c>
      <c r="N63" s="21">
        <f t="shared" si="11"/>
        <v>0.61028403892193595</v>
      </c>
      <c r="O63">
        <f t="shared" si="12"/>
        <v>1.0033852647406581E-10</v>
      </c>
      <c r="P63">
        <f t="shared" si="13"/>
        <v>9.5559922211673179E-14</v>
      </c>
    </row>
    <row r="64" spans="1:16">
      <c r="A64">
        <f t="shared" si="0"/>
        <v>7.330359999999999E-6</v>
      </c>
      <c r="B64" s="2">
        <v>7.3303599999999998</v>
      </c>
      <c r="C64" s="2">
        <f t="shared" si="1"/>
        <v>40897370388357.461</v>
      </c>
      <c r="D64" s="2">
        <f t="shared" si="2"/>
        <v>40.897370388357459</v>
      </c>
      <c r="E64" s="2">
        <v>5.7601724534666661E-23</v>
      </c>
      <c r="F64" s="2">
        <f t="shared" si="3"/>
        <v>1.3536405586269348E-33</v>
      </c>
      <c r="G64">
        <f t="shared" si="4"/>
        <v>5.7601724534666662E-3</v>
      </c>
      <c r="H64">
        <f t="shared" si="5"/>
        <v>3.2137017326603329E-10</v>
      </c>
      <c r="I64">
        <f t="shared" si="6"/>
        <v>7.5521992506328284E-21</v>
      </c>
      <c r="J64">
        <f t="shared" si="7"/>
        <v>2.1256123755089657E-3</v>
      </c>
      <c r="K64">
        <f t="shared" si="8"/>
        <v>4.9951892007618918E-14</v>
      </c>
      <c r="L64" s="18">
        <f t="shared" si="9"/>
        <v>11859166074.144588</v>
      </c>
      <c r="M64" s="22">
        <f t="shared" si="10"/>
        <v>0.27869040934344613</v>
      </c>
      <c r="N64" s="21">
        <f t="shared" si="11"/>
        <v>0.63724253755292792</v>
      </c>
      <c r="O64">
        <f t="shared" si="12"/>
        <v>1.1209145351133368E-10</v>
      </c>
      <c r="P64">
        <f t="shared" si="13"/>
        <v>1.1421222829542624E-13</v>
      </c>
    </row>
    <row r="65" spans="1:16">
      <c r="A65">
        <f t="shared" si="0"/>
        <v>7.813959999999999E-6</v>
      </c>
      <c r="B65" s="2">
        <v>7.8139599999999998</v>
      </c>
      <c r="C65" s="2">
        <f t="shared" si="1"/>
        <v>38366263456685.219</v>
      </c>
      <c r="D65" s="2">
        <f t="shared" si="2"/>
        <v>38.366263456685218</v>
      </c>
      <c r="E65" s="2">
        <v>5.6505609878666656E-23</v>
      </c>
      <c r="F65" s="2">
        <f t="shared" si="3"/>
        <v>1.3278818636008155E-33</v>
      </c>
      <c r="G65">
        <f t="shared" si="4"/>
        <v>5.6505609878666659E-3</v>
      </c>
      <c r="H65">
        <f t="shared" si="5"/>
        <v>2.7744051868522487E-10</v>
      </c>
      <c r="I65">
        <f t="shared" si="6"/>
        <v>6.519852343531708E-21</v>
      </c>
      <c r="J65">
        <f t="shared" si="7"/>
        <v>2.2227265173237558E-3</v>
      </c>
      <c r="K65">
        <f t="shared" si="8"/>
        <v>5.2234074394322158E-14</v>
      </c>
      <c r="L65" s="18">
        <f t="shared" si="9"/>
        <v>10913507511.659084</v>
      </c>
      <c r="M65" s="22">
        <f t="shared" si="10"/>
        <v>0.25646743259866434</v>
      </c>
      <c r="N65" s="21">
        <f t="shared" si="11"/>
        <v>0.66635662386300309</v>
      </c>
      <c r="O65">
        <f t="shared" si="12"/>
        <v>1.2494542009177885E-10</v>
      </c>
      <c r="P65">
        <f t="shared" si="13"/>
        <v>1.3570827355446949E-13</v>
      </c>
    </row>
    <row r="66" spans="1:16">
      <c r="A66">
        <f t="shared" si="0"/>
        <v>8.4829100000000004E-6</v>
      </c>
      <c r="B66" s="2">
        <v>8.4829100000000004</v>
      </c>
      <c r="C66" s="2">
        <f t="shared" si="1"/>
        <v>35340755471884.055</v>
      </c>
      <c r="D66" s="2">
        <f t="shared" si="2"/>
        <v>35.340755471884052</v>
      </c>
      <c r="E66" s="2">
        <v>5.7196868965999994E-23</v>
      </c>
      <c r="F66" s="2">
        <f t="shared" si="3"/>
        <v>1.3441264525379174E-33</v>
      </c>
      <c r="G66">
        <f t="shared" si="4"/>
        <v>5.719686896599999E-3</v>
      </c>
      <c r="H66">
        <f t="shared" si="5"/>
        <v>2.3828857784472543E-10</v>
      </c>
      <c r="I66">
        <f t="shared" si="6"/>
        <v>5.5997817119872204E-21</v>
      </c>
      <c r="J66">
        <f t="shared" si="7"/>
        <v>2.4425327479535774E-3</v>
      </c>
      <c r="K66">
        <f t="shared" si="8"/>
        <v>5.7399520936471496E-14</v>
      </c>
      <c r="L66" s="18">
        <f t="shared" si="9"/>
        <v>10175865661.370497</v>
      </c>
      <c r="M66" s="22">
        <f t="shared" si="10"/>
        <v>0.23913284870629639</v>
      </c>
      <c r="N66" s="21">
        <f t="shared" si="11"/>
        <v>0.73225287182916998</v>
      </c>
      <c r="O66">
        <f t="shared" si="12"/>
        <v>1.4905562903949873E-10</v>
      </c>
      <c r="P66">
        <f t="shared" si="13"/>
        <v>1.7575514257282813E-13</v>
      </c>
    </row>
    <row r="67" spans="1:16">
      <c r="A67">
        <f t="shared" si="0"/>
        <v>8.8952200000000005E-6</v>
      </c>
      <c r="B67" s="2">
        <v>8.8952200000000001</v>
      </c>
      <c r="C67" s="2">
        <f t="shared" si="1"/>
        <v>33702645690606.863</v>
      </c>
      <c r="D67" s="2">
        <f t="shared" si="2"/>
        <v>33.702645690606865</v>
      </c>
      <c r="E67" s="2">
        <v>5.8168512145999995E-23</v>
      </c>
      <c r="F67" s="2">
        <f t="shared" si="3"/>
        <v>1.3669600678087535E-33</v>
      </c>
      <c r="G67">
        <f t="shared" si="4"/>
        <v>5.8168512145999997E-3</v>
      </c>
      <c r="H67">
        <f t="shared" si="5"/>
        <v>2.2039171096458541E-10</v>
      </c>
      <c r="I67">
        <f t="shared" si="6"/>
        <v>5.1792053303421785E-21</v>
      </c>
      <c r="J67">
        <f t="shared" si="7"/>
        <v>2.6047612915152097E-3</v>
      </c>
      <c r="K67">
        <f t="shared" si="8"/>
        <v>6.1211891800469497E-14</v>
      </c>
      <c r="L67" s="18">
        <f t="shared" si="9"/>
        <v>9869047299.1724358</v>
      </c>
      <c r="M67" s="22">
        <f t="shared" si="10"/>
        <v>0.23192261702386074</v>
      </c>
      <c r="N67" s="21">
        <f t="shared" si="11"/>
        <v>0.78088776403898619</v>
      </c>
      <c r="O67">
        <f t="shared" si="12"/>
        <v>1.6668163436148968E-10</v>
      </c>
      <c r="P67">
        <f t="shared" si="13"/>
        <v>2.060911032570964E-13</v>
      </c>
    </row>
    <row r="68" spans="1:16">
      <c r="A68">
        <f t="shared" si="0"/>
        <v>1.0293799999999998E-5</v>
      </c>
      <c r="B68" s="2">
        <v>10.293799999999999</v>
      </c>
      <c r="C68" s="2">
        <f t="shared" si="1"/>
        <v>29123593619460.262</v>
      </c>
      <c r="D68" s="2">
        <f t="shared" si="2"/>
        <v>29.123593619460262</v>
      </c>
      <c r="E68" s="2">
        <v>6.9812894726666665E-23</v>
      </c>
      <c r="F68" s="2">
        <f t="shared" si="3"/>
        <v>1.6406030649359157E-33</v>
      </c>
      <c r="G68">
        <f t="shared" si="4"/>
        <v>6.9812894726666661E-3</v>
      </c>
      <c r="H68">
        <f t="shared" si="5"/>
        <v>1.9751718271363347E-10</v>
      </c>
      <c r="I68">
        <f t="shared" si="6"/>
        <v>4.6416539037123885E-21</v>
      </c>
      <c r="J68">
        <f t="shared" si="7"/>
        <v>3.6177175130301547E-3</v>
      </c>
      <c r="K68">
        <f t="shared" si="8"/>
        <v>8.501636356990233E-14</v>
      </c>
      <c r="L68" s="18">
        <f t="shared" si="9"/>
        <v>10235378060.531063</v>
      </c>
      <c r="M68" s="22">
        <f t="shared" si="10"/>
        <v>0.24053139011969549</v>
      </c>
      <c r="N68" s="21">
        <f t="shared" si="11"/>
        <v>1.0845643894037817</v>
      </c>
      <c r="O68">
        <f t="shared" si="12"/>
        <v>2.6790048844163597E-10</v>
      </c>
      <c r="P68">
        <f t="shared" si="13"/>
        <v>3.8332225266095114E-13</v>
      </c>
    </row>
    <row r="69" spans="1:16">
      <c r="A69">
        <f t="shared" si="0"/>
        <v>1.19341E-5</v>
      </c>
      <c r="B69" s="2">
        <v>11.934100000000001</v>
      </c>
      <c r="C69" s="2">
        <f t="shared" si="1"/>
        <v>25120658281730.5</v>
      </c>
      <c r="D69" s="2">
        <f t="shared" si="2"/>
        <v>25.120658281730499</v>
      </c>
      <c r="E69" s="2">
        <v>8.321091005333332E-23</v>
      </c>
      <c r="F69" s="2">
        <f t="shared" si="3"/>
        <v>1.9554564325701845E-33</v>
      </c>
      <c r="G69">
        <f t="shared" si="4"/>
        <v>8.3210910053333319E-3</v>
      </c>
      <c r="H69">
        <f t="shared" si="5"/>
        <v>1.7515462722464196E-10</v>
      </c>
      <c r="I69">
        <f t="shared" si="6"/>
        <v>4.1161338372736426E-21</v>
      </c>
      <c r="J69">
        <f t="shared" si="7"/>
        <v>4.9991161195534614E-3</v>
      </c>
      <c r="K69">
        <f t="shared" si="8"/>
        <v>1.1747923159211404E-13</v>
      </c>
      <c r="L69" s="18">
        <f t="shared" si="9"/>
        <v>10522878788.51301</v>
      </c>
      <c r="M69" s="22">
        <f t="shared" si="10"/>
        <v>0.24728765738729988</v>
      </c>
      <c r="N69" s="21">
        <f t="shared" si="11"/>
        <v>1.4986972593171928</v>
      </c>
      <c r="O69">
        <f t="shared" si="12"/>
        <v>4.2918647193974379E-10</v>
      </c>
      <c r="P69">
        <f t="shared" si="13"/>
        <v>7.1195164419387737E-13</v>
      </c>
    </row>
    <row r="70" spans="1:16">
      <c r="A70">
        <f t="shared" si="0"/>
        <v>1.3242699999999999E-5</v>
      </c>
      <c r="B70" s="2">
        <v>13.242699999999999</v>
      </c>
      <c r="C70" s="2">
        <f t="shared" si="1"/>
        <v>22638317563638.836</v>
      </c>
      <c r="D70" s="2">
        <f t="shared" si="2"/>
        <v>22.638317563638836</v>
      </c>
      <c r="E70" s="2">
        <v>1.0667215561666665E-22</v>
      </c>
      <c r="F70" s="2">
        <f t="shared" si="3"/>
        <v>2.5067957163675147E-33</v>
      </c>
      <c r="G70">
        <f t="shared" si="4"/>
        <v>1.0667215561666665E-2</v>
      </c>
      <c r="H70">
        <f t="shared" si="5"/>
        <v>1.8235542102803808E-10</v>
      </c>
      <c r="I70">
        <f t="shared" si="6"/>
        <v>4.2853524956615579E-21</v>
      </c>
      <c r="J70">
        <f t="shared" si="7"/>
        <v>7.1113309790399766E-3</v>
      </c>
      <c r="K70">
        <f t="shared" si="8"/>
        <v>1.6711628196574804E-13</v>
      </c>
      <c r="L70" s="18">
        <f t="shared" si="9"/>
        <v>12156778376.286531</v>
      </c>
      <c r="M70" s="22">
        <f t="shared" si="10"/>
        <v>0.28568429860943872</v>
      </c>
      <c r="N70" s="21">
        <f t="shared" si="11"/>
        <v>2.131923322744631</v>
      </c>
      <c r="O70">
        <f t="shared" si="12"/>
        <v>6.7747076700782443E-10</v>
      </c>
      <c r="P70">
        <f t="shared" si="13"/>
        <v>1.2470443555493776E-12</v>
      </c>
    </row>
    <row r="71" spans="1:16">
      <c r="A71">
        <f t="shared" si="0"/>
        <v>1.4245799999999998E-5</v>
      </c>
      <c r="B71" s="2">
        <v>14.245799999999999</v>
      </c>
      <c r="C71" s="2">
        <f t="shared" si="1"/>
        <v>21044269047719.328</v>
      </c>
      <c r="D71" s="2">
        <f t="shared" si="2"/>
        <v>21.044269047719329</v>
      </c>
      <c r="E71" s="2">
        <v>1.2689683780000001E-22</v>
      </c>
      <c r="F71" s="2">
        <f t="shared" si="3"/>
        <v>2.98207575893331E-33</v>
      </c>
      <c r="G71">
        <f t="shared" si="4"/>
        <v>1.2689683780000001E-2</v>
      </c>
      <c r="H71">
        <f t="shared" si="5"/>
        <v>1.8745533392073456E-10</v>
      </c>
      <c r="I71">
        <f t="shared" si="6"/>
        <v>4.4052004514786384E-21</v>
      </c>
      <c r="J71">
        <f t="shared" si="7"/>
        <v>9.1004092456345616E-3</v>
      </c>
      <c r="K71">
        <f t="shared" si="8"/>
        <v>2.1385962233788141E-13</v>
      </c>
      <c r="L71" s="18">
        <f t="shared" si="9"/>
        <v>13443362998.882914</v>
      </c>
      <c r="M71" s="22">
        <f t="shared" si="10"/>
        <v>0.31591903795659232</v>
      </c>
      <c r="N71" s="21">
        <f t="shared" si="11"/>
        <v>2.728233965550618</v>
      </c>
      <c r="O71">
        <f t="shared" si="12"/>
        <v>9.3263324631406966E-10</v>
      </c>
      <c r="P71">
        <f t="shared" si="13"/>
        <v>1.846768831347395E-12</v>
      </c>
    </row>
    <row r="72" spans="1:16">
      <c r="A72">
        <f t="shared" si="0"/>
        <v>1.47216E-5</v>
      </c>
      <c r="B72" s="2">
        <v>14.7216</v>
      </c>
      <c r="C72" s="2">
        <f t="shared" si="1"/>
        <v>20364121291164.004</v>
      </c>
      <c r="D72" s="2">
        <f t="shared" si="2"/>
        <v>20.364121291164004</v>
      </c>
      <c r="E72" s="2">
        <v>1.3679850512E-22</v>
      </c>
      <c r="F72" s="2">
        <f t="shared" si="3"/>
        <v>3.2147649464647756E-33</v>
      </c>
      <c r="G72">
        <f t="shared" si="4"/>
        <v>1.3679850512E-2</v>
      </c>
      <c r="H72">
        <f t="shared" si="5"/>
        <v>1.8923088188196935E-10</v>
      </c>
      <c r="I72">
        <f t="shared" si="6"/>
        <v>4.4469258295559614E-21</v>
      </c>
      <c r="J72">
        <f t="shared" si="7"/>
        <v>1.0138171771548472E-2</v>
      </c>
      <c r="K72">
        <f t="shared" si="8"/>
        <v>2.3824704227449768E-13</v>
      </c>
      <c r="L72" s="18">
        <f t="shared" si="9"/>
        <v>14023948458.487402</v>
      </c>
      <c r="M72" s="22">
        <f t="shared" si="10"/>
        <v>0.32956279658046328</v>
      </c>
      <c r="N72" s="21">
        <f t="shared" si="11"/>
        <v>3.0393473336370134</v>
      </c>
      <c r="O72">
        <f t="shared" si="12"/>
        <v>1.0736872248287759E-9</v>
      </c>
      <c r="P72">
        <f t="shared" si="13"/>
        <v>2.1970887450164638E-12</v>
      </c>
    </row>
    <row r="73" spans="1:16">
      <c r="A73">
        <f t="shared" si="0"/>
        <v>1.6365699999999998E-5</v>
      </c>
      <c r="B73" s="2">
        <v>16.3657</v>
      </c>
      <c r="C73" s="2">
        <f t="shared" si="1"/>
        <v>18318339453857.762</v>
      </c>
      <c r="D73" s="2">
        <f t="shared" si="2"/>
        <v>18.31833945385776</v>
      </c>
      <c r="E73" s="2">
        <v>1.5933918281666666E-22</v>
      </c>
      <c r="F73" s="2">
        <f t="shared" si="3"/>
        <v>3.7444708848830326E-33</v>
      </c>
      <c r="G73">
        <f t="shared" si="4"/>
        <v>1.5933918281666664E-2</v>
      </c>
      <c r="H73">
        <f t="shared" si="5"/>
        <v>1.7835040597933483E-10</v>
      </c>
      <c r="I73">
        <f t="shared" si="6"/>
        <v>4.19123463978776E-21</v>
      </c>
      <c r="J73">
        <f t="shared" si="7"/>
        <v>1.3127452382230323E-2</v>
      </c>
      <c r="K73">
        <f t="shared" si="8"/>
        <v>3.0849513828941431E-13</v>
      </c>
      <c r="L73" s="18">
        <f t="shared" si="9"/>
        <v>14693727057.324087</v>
      </c>
      <c r="M73" s="22">
        <f t="shared" si="10"/>
        <v>0.34530259402593749</v>
      </c>
      <c r="N73" s="21">
        <f t="shared" si="11"/>
        <v>3.9355110856722595</v>
      </c>
      <c r="O73">
        <f t="shared" si="12"/>
        <v>1.5455325805408802E-9</v>
      </c>
      <c r="P73">
        <f t="shared" si="13"/>
        <v>3.5158274349167453E-12</v>
      </c>
    </row>
    <row r="74" spans="1:16">
      <c r="A74">
        <f t="shared" si="0"/>
        <v>1.8160199999999999E-5</v>
      </c>
      <c r="B74" s="2">
        <v>18.1602</v>
      </c>
      <c r="C74" s="2">
        <f t="shared" si="1"/>
        <v>16508212905144.217</v>
      </c>
      <c r="D74" s="2">
        <f t="shared" si="2"/>
        <v>16.508212905144216</v>
      </c>
      <c r="E74" s="2">
        <v>1.8177694326000004E-22</v>
      </c>
      <c r="F74" s="2">
        <f t="shared" si="3"/>
        <v>4.2717582677906715E-33</v>
      </c>
      <c r="G74">
        <f t="shared" si="4"/>
        <v>1.8177694326000002E-2</v>
      </c>
      <c r="H74">
        <f t="shared" si="5"/>
        <v>1.652411581690951E-10</v>
      </c>
      <c r="I74">
        <f t="shared" si="6"/>
        <v>3.8831673089502583E-21</v>
      </c>
      <c r="J74">
        <f t="shared" si="7"/>
        <v>1.661815110130822E-2</v>
      </c>
      <c r="K74">
        <f t="shared" si="8"/>
        <v>3.9052656013073737E-13</v>
      </c>
      <c r="L74" s="18">
        <f t="shared" si="9"/>
        <v>15106440263.337021</v>
      </c>
      <c r="M74" s="22">
        <f t="shared" si="10"/>
        <v>0.3550013545969658</v>
      </c>
      <c r="N74" s="21">
        <f t="shared" si="11"/>
        <v>4.9819961998950877</v>
      </c>
      <c r="O74">
        <f t="shared" si="12"/>
        <v>2.1710331646481827E-9</v>
      </c>
      <c r="P74">
        <f t="shared" si="13"/>
        <v>5.4802691102535058E-12</v>
      </c>
    </row>
    <row r="75" spans="1:16">
      <c r="A75">
        <f t="shared" si="0"/>
        <v>1.9323000000000001E-5</v>
      </c>
      <c r="B75" s="2">
        <v>19.323</v>
      </c>
      <c r="C75" s="2">
        <f t="shared" si="1"/>
        <v>15514798323241.732</v>
      </c>
      <c r="D75" s="2">
        <f t="shared" si="2"/>
        <v>15.514798323241733</v>
      </c>
      <c r="E75" s="2">
        <v>1.9798088159999997E-22</v>
      </c>
      <c r="F75" s="2">
        <f t="shared" si="3"/>
        <v>4.6525508278001055E-33</v>
      </c>
      <c r="G75">
        <f t="shared" si="4"/>
        <v>1.9798088159999998E-2</v>
      </c>
      <c r="H75">
        <f t="shared" si="5"/>
        <v>1.5896255498015834E-10</v>
      </c>
      <c r="I75">
        <f t="shared" si="6"/>
        <v>3.7356201305154482E-21</v>
      </c>
      <c r="J75">
        <f t="shared" si="7"/>
        <v>1.9258439249670672E-2</v>
      </c>
      <c r="K75">
        <f t="shared" si="8"/>
        <v>4.5257333308689209E-13</v>
      </c>
      <c r="L75" s="18">
        <f t="shared" si="9"/>
        <v>15462961288.570272</v>
      </c>
      <c r="M75" s="22">
        <f t="shared" si="10"/>
        <v>0.36337959888839394</v>
      </c>
      <c r="N75" s="21">
        <f t="shared" si="11"/>
        <v>5.7735346473180558</v>
      </c>
      <c r="O75">
        <f t="shared" si="12"/>
        <v>2.6770640928785142E-9</v>
      </c>
      <c r="P75">
        <f t="shared" si="13"/>
        <v>7.1903184158701219E-12</v>
      </c>
    </row>
    <row r="76" spans="1:16">
      <c r="A76">
        <f t="shared" si="0"/>
        <v>2.4858499999999999E-5</v>
      </c>
      <c r="B76" s="2">
        <v>24.858499999999999</v>
      </c>
      <c r="C76" s="2">
        <f t="shared" si="1"/>
        <v>12059957278194.582</v>
      </c>
      <c r="D76" s="2">
        <f t="shared" si="2"/>
        <v>12.059957278194581</v>
      </c>
      <c r="E76" s="2">
        <v>2.5469687653333331E-22</v>
      </c>
      <c r="F76" s="2">
        <f t="shared" si="3"/>
        <v>5.9853767403026921E-33</v>
      </c>
      <c r="G76">
        <f t="shared" si="4"/>
        <v>2.546968765333333E-2</v>
      </c>
      <c r="H76">
        <f t="shared" si="5"/>
        <v>1.2356471427807791E-10</v>
      </c>
      <c r="I76">
        <f t="shared" si="6"/>
        <v>2.903770854313415E-21</v>
      </c>
      <c r="J76">
        <f t="shared" si="7"/>
        <v>3.1872917484287146E-2</v>
      </c>
      <c r="K76">
        <f t="shared" si="8"/>
        <v>7.4901357862184919E-13</v>
      </c>
      <c r="L76" s="18">
        <f t="shared" si="9"/>
        <v>15462961288.570272</v>
      </c>
      <c r="M76" s="22">
        <f t="shared" si="10"/>
        <v>0.36337959888839394</v>
      </c>
      <c r="N76" s="21">
        <f t="shared" si="11"/>
        <v>9.5552599575164461</v>
      </c>
      <c r="O76">
        <f t="shared" si="12"/>
        <v>5.6998032500911767E-9</v>
      </c>
      <c r="P76">
        <f t="shared" si="13"/>
        <v>1.9694709713842418E-11</v>
      </c>
    </row>
    <row r="77" spans="1:16">
      <c r="A77">
        <f t="shared" si="0"/>
        <v>2.7533999999999998E-5</v>
      </c>
      <c r="B77" s="2">
        <v>27.533999999999999</v>
      </c>
      <c r="C77" s="2">
        <f t="shared" si="1"/>
        <v>10888081935062.105</v>
      </c>
      <c r="D77" s="2">
        <f t="shared" si="2"/>
        <v>10.888081935062106</v>
      </c>
      <c r="E77" s="2">
        <v>3.0700318220000001E-22</v>
      </c>
      <c r="F77" s="2">
        <f t="shared" si="3"/>
        <v>7.2145749525840922E-33</v>
      </c>
      <c r="G77">
        <f t="shared" si="4"/>
        <v>3.0700318220000002E-2</v>
      </c>
      <c r="H77">
        <f t="shared" si="5"/>
        <v>1.2140175063987797E-10</v>
      </c>
      <c r="I77">
        <f t="shared" si="6"/>
        <v>2.8529412076117677E-21</v>
      </c>
      <c r="J77">
        <f t="shared" si="7"/>
        <v>4.2553517548849722E-2</v>
      </c>
      <c r="K77">
        <f t="shared" si="8"/>
        <v>1.0000076860841047E-12</v>
      </c>
      <c r="L77" s="18">
        <f t="shared" si="9"/>
        <v>16827420124.100348</v>
      </c>
      <c r="M77" s="22">
        <f t="shared" si="10"/>
        <v>0.39544438228283568</v>
      </c>
      <c r="N77" s="21">
        <f t="shared" si="11"/>
        <v>12.757223196980616</v>
      </c>
      <c r="O77">
        <f t="shared" si="12"/>
        <v>8.4288417609604861E-9</v>
      </c>
      <c r="P77">
        <f t="shared" si="13"/>
        <v>3.2259082337433759E-11</v>
      </c>
    </row>
    <row r="78" spans="1:16">
      <c r="A78">
        <f t="shared" si="0"/>
        <v>2.9782199999999998E-5</v>
      </c>
      <c r="B78" s="2">
        <v>29.7822</v>
      </c>
      <c r="C78" s="2">
        <f t="shared" si="1"/>
        <v>10066161935652.84</v>
      </c>
      <c r="D78" s="2">
        <f t="shared" si="2"/>
        <v>10.06616193565284</v>
      </c>
      <c r="E78" s="2">
        <v>3.5822427255999996E-22</v>
      </c>
      <c r="F78" s="2">
        <f t="shared" si="3"/>
        <v>8.4182706045547711E-33</v>
      </c>
      <c r="G78">
        <f t="shared" si="4"/>
        <v>3.5822427255999996E-2</v>
      </c>
      <c r="H78">
        <f t="shared" si="5"/>
        <v>1.2107713791695711E-10</v>
      </c>
      <c r="I78">
        <f t="shared" si="6"/>
        <v>2.8453128084424409E-21</v>
      </c>
      <c r="J78">
        <f t="shared" si="7"/>
        <v>5.3707515871630543E-2</v>
      </c>
      <c r="K78">
        <f t="shared" si="8"/>
        <v>1.2621266528779919E-12</v>
      </c>
      <c r="L78" s="18">
        <f t="shared" si="9"/>
        <v>18152740627.807156</v>
      </c>
      <c r="M78" s="22">
        <f t="shared" si="10"/>
        <v>0.42658941485764551</v>
      </c>
      <c r="N78" s="21">
        <f t="shared" si="11"/>
        <v>16.101107659154977</v>
      </c>
      <c r="O78">
        <f t="shared" si="12"/>
        <v>1.1506810696283229E-8</v>
      </c>
      <c r="P78">
        <f t="shared" si="13"/>
        <v>4.763504111511964E-11</v>
      </c>
    </row>
    <row r="79" spans="1:16">
      <c r="A79">
        <f t="shared" si="0"/>
        <v>3.2272900000000001E-5</v>
      </c>
      <c r="B79" s="2">
        <v>32.2729</v>
      </c>
      <c r="C79" s="2">
        <f t="shared" si="1"/>
        <v>9289293741808.1426</v>
      </c>
      <c r="D79" s="2">
        <f t="shared" si="2"/>
        <v>9.2892937418081427</v>
      </c>
      <c r="E79" s="2">
        <v>4.1692929204666664E-22</v>
      </c>
      <c r="F79" s="2">
        <f t="shared" si="3"/>
        <v>9.7978385951678223E-33</v>
      </c>
      <c r="G79">
        <f t="shared" si="4"/>
        <v>4.1692929204666662E-2</v>
      </c>
      <c r="H79">
        <f t="shared" si="5"/>
        <v>1.2000714727792048E-10</v>
      </c>
      <c r="I79">
        <f t="shared" si="6"/>
        <v>2.8201680278295018E-21</v>
      </c>
      <c r="J79">
        <f t="shared" si="7"/>
        <v>6.7736644780262215E-2</v>
      </c>
      <c r="K79">
        <f t="shared" si="8"/>
        <v>1.591811190039729E-12</v>
      </c>
      <c r="L79" s="18">
        <f t="shared" si="9"/>
        <v>19497026621.356339</v>
      </c>
      <c r="M79" s="22">
        <f t="shared" si="10"/>
        <v>0.45818013645430772</v>
      </c>
      <c r="N79" s="21">
        <f t="shared" si="11"/>
        <v>20.306934557981233</v>
      </c>
      <c r="O79">
        <f t="shared" si="12"/>
        <v>1.5726236416216996E-8</v>
      </c>
      <c r="P79">
        <f t="shared" si="13"/>
        <v>7.0546844477933202E-11</v>
      </c>
    </row>
    <row r="80" spans="1:16">
      <c r="A80">
        <f t="shared" si="0"/>
        <v>3.5551099999999999E-5</v>
      </c>
      <c r="B80" s="2">
        <v>35.551099999999998</v>
      </c>
      <c r="C80" s="2">
        <f t="shared" si="1"/>
        <v>8432719325140.4316</v>
      </c>
      <c r="D80" s="2">
        <f t="shared" si="2"/>
        <v>8.4327193251404307</v>
      </c>
      <c r="E80" s="2">
        <v>4.8970692220666676E-22</v>
      </c>
      <c r="F80" s="2">
        <f t="shared" si="3"/>
        <v>1.1508112944437305E-32</v>
      </c>
      <c r="G80">
        <f t="shared" si="4"/>
        <v>4.8970692220666676E-2</v>
      </c>
      <c r="H80">
        <f t="shared" si="5"/>
        <v>1.1615845997865612E-10</v>
      </c>
      <c r="I80">
        <f t="shared" si="6"/>
        <v>2.7297238741545331E-21</v>
      </c>
      <c r="J80">
        <f t="shared" si="7"/>
        <v>8.7642057824269606E-2</v>
      </c>
      <c r="K80">
        <f t="shared" si="8"/>
        <v>2.0595884076536526E-12</v>
      </c>
      <c r="L80" s="18">
        <f t="shared" si="9"/>
        <v>20788692184.202278</v>
      </c>
      <c r="M80" s="22">
        <f t="shared" si="10"/>
        <v>0.48853427790015408</v>
      </c>
      <c r="N80" s="21">
        <f t="shared" si="11"/>
        <v>26.274427062895342</v>
      </c>
      <c r="O80">
        <f t="shared" si="12"/>
        <v>2.2414483524035541E-8</v>
      </c>
      <c r="P80">
        <f t="shared" si="13"/>
        <v>1.1076347678437623E-10</v>
      </c>
    </row>
    <row r="81" spans="1:16">
      <c r="A81">
        <f t="shared" si="0"/>
        <v>3.8313899999999992E-5</v>
      </c>
      <c r="B81" s="2">
        <v>38.313899999999997</v>
      </c>
      <c r="C81" s="2">
        <f t="shared" si="1"/>
        <v>7824639308449.415</v>
      </c>
      <c r="D81" s="2">
        <f t="shared" si="2"/>
        <v>7.8246393084494148</v>
      </c>
      <c r="E81" s="2">
        <v>5.5782867279000003E-22</v>
      </c>
      <c r="F81" s="2">
        <f t="shared" si="3"/>
        <v>1.3108974121063561E-32</v>
      </c>
      <c r="G81">
        <f t="shared" si="4"/>
        <v>5.5782867279000004E-2</v>
      </c>
      <c r="H81">
        <f t="shared" si="5"/>
        <v>1.139223143687487E-10</v>
      </c>
      <c r="I81">
        <f t="shared" si="6"/>
        <v>2.6771744510770256E-21</v>
      </c>
      <c r="J81">
        <f t="shared" si="7"/>
        <v>0.10759212253499359</v>
      </c>
      <c r="K81">
        <f t="shared" si="8"/>
        <v>2.52841493946027E-12</v>
      </c>
      <c r="L81" s="18">
        <f t="shared" si="9"/>
        <v>21972953713.060196</v>
      </c>
      <c r="M81" s="22">
        <f t="shared" si="10"/>
        <v>0.51636442448749875</v>
      </c>
      <c r="N81" s="21">
        <f t="shared" si="11"/>
        <v>32.25530580028169</v>
      </c>
      <c r="O81">
        <f t="shared" si="12"/>
        <v>2.9655138980621677E-8</v>
      </c>
      <c r="P81">
        <f t="shared" si="13"/>
        <v>1.5793236008516006E-10</v>
      </c>
    </row>
    <row r="82" spans="1:16">
      <c r="A82">
        <f t="shared" si="0"/>
        <v>3.9811100000000002E-5</v>
      </c>
      <c r="B82" s="2">
        <v>39.811100000000003</v>
      </c>
      <c r="C82" s="2">
        <f t="shared" si="1"/>
        <v>7530373388326.3711</v>
      </c>
      <c r="D82" s="2">
        <f t="shared" si="2"/>
        <v>7.530373388326371</v>
      </c>
      <c r="E82" s="2">
        <v>5.8985718204000011E-22</v>
      </c>
      <c r="F82" s="2">
        <f t="shared" si="3"/>
        <v>1.3861644106266271E-32</v>
      </c>
      <c r="G82">
        <f t="shared" si="4"/>
        <v>5.8985718204000011E-2</v>
      </c>
      <c r="H82">
        <f t="shared" si="5"/>
        <v>1.1157302427079884E-10</v>
      </c>
      <c r="I82">
        <f t="shared" si="6"/>
        <v>2.6219661324675427E-21</v>
      </c>
      <c r="J82">
        <f t="shared" si="7"/>
        <v>0.11821547442349124</v>
      </c>
      <c r="K82">
        <f t="shared" si="8"/>
        <v>2.7780637147531343E-12</v>
      </c>
      <c r="L82" s="18">
        <f t="shared" si="9"/>
        <v>22360765281.216419</v>
      </c>
      <c r="M82" s="22">
        <f t="shared" si="10"/>
        <v>0.52547799655503358</v>
      </c>
      <c r="N82" s="21">
        <f t="shared" si="11"/>
        <v>35.44010646889982</v>
      </c>
      <c r="O82">
        <f t="shared" si="12"/>
        <v>3.3856466815283683E-8</v>
      </c>
      <c r="P82">
        <f t="shared" si="13"/>
        <v>1.8735298285816169E-10</v>
      </c>
    </row>
    <row r="83" spans="1:16">
      <c r="A83">
        <f t="shared" si="0"/>
        <v>5.0381199999999998E-5</v>
      </c>
      <c r="B83" s="2">
        <v>50.3812</v>
      </c>
      <c r="C83" s="2">
        <f t="shared" si="1"/>
        <v>5950482481560.582</v>
      </c>
      <c r="D83" s="2">
        <f t="shared" si="2"/>
        <v>5.9504824815605817</v>
      </c>
      <c r="E83" s="2">
        <v>1.0684945658400002E-21</v>
      </c>
      <c r="F83" s="2">
        <f t="shared" si="3"/>
        <v>2.5109622891985384E-32</v>
      </c>
      <c r="G83">
        <f t="shared" si="4"/>
        <v>0.10684945658400001</v>
      </c>
      <c r="H83">
        <f t="shared" si="5"/>
        <v>1.2619902256543317E-10</v>
      </c>
      <c r="I83">
        <f t="shared" si="6"/>
        <v>2.9656771005325719E-21</v>
      </c>
      <c r="J83">
        <f t="shared" si="7"/>
        <v>0.27099676434799785</v>
      </c>
      <c r="K83">
        <f t="shared" si="8"/>
        <v>6.3684241130201512E-12</v>
      </c>
      <c r="L83" s="18">
        <f t="shared" si="9"/>
        <v>32007207029.851662</v>
      </c>
      <c r="M83" s="22">
        <f t="shared" si="10"/>
        <v>0.75216938301736358</v>
      </c>
      <c r="N83" s="21">
        <f t="shared" si="11"/>
        <v>81.242783383965403</v>
      </c>
      <c r="O83">
        <f t="shared" si="12"/>
        <v>9.8219052473047603E-8</v>
      </c>
      <c r="P83">
        <f t="shared" si="13"/>
        <v>6.8782672797725968E-10</v>
      </c>
    </row>
    <row r="84" spans="1:16">
      <c r="A84">
        <f t="shared" si="0"/>
        <v>5.6212599999999998E-5</v>
      </c>
      <c r="B84" s="2">
        <v>56.212600000000002</v>
      </c>
      <c r="C84" s="2">
        <f t="shared" si="1"/>
        <v>5333189498439.8516</v>
      </c>
      <c r="D84" s="2">
        <f t="shared" si="2"/>
        <v>5.3331894984398511</v>
      </c>
      <c r="E84" s="2">
        <v>1.4015862308666667E-21</v>
      </c>
      <c r="F84" s="2">
        <f t="shared" si="3"/>
        <v>3.2937277205517508E-32</v>
      </c>
      <c r="G84">
        <f t="shared" si="4"/>
        <v>0.14015862308666666</v>
      </c>
      <c r="H84">
        <f t="shared" si="5"/>
        <v>1.3297596922426643E-10</v>
      </c>
      <c r="I84">
        <f t="shared" si="6"/>
        <v>3.1249353507873374E-21</v>
      </c>
      <c r="J84">
        <f t="shared" si="7"/>
        <v>0.39662197771935537</v>
      </c>
      <c r="K84">
        <f t="shared" si="8"/>
        <v>9.3206166971725517E-12</v>
      </c>
      <c r="L84" s="18">
        <f t="shared" si="9"/>
        <v>37629644713.521713</v>
      </c>
      <c r="M84" s="22">
        <f t="shared" si="10"/>
        <v>0.88429667171317072</v>
      </c>
      <c r="N84" s="21">
        <f t="shared" si="11"/>
        <v>118.90427363108698</v>
      </c>
      <c r="O84">
        <f t="shared" si="12"/>
        <v>1.6038862937990979E-7</v>
      </c>
      <c r="P84">
        <f t="shared" si="13"/>
        <v>1.2532047996354752E-9</v>
      </c>
    </row>
    <row r="85" spans="1:16">
      <c r="A85">
        <f t="shared" ref="A85:A148" si="14">B85*0.000001</f>
        <v>6.0802599999999993E-5</v>
      </c>
      <c r="B85" s="2">
        <v>60.802599999999998</v>
      </c>
      <c r="C85" s="2">
        <f t="shared" ref="C85:C148" si="15">wavelength_to_freq(B85)</f>
        <v>4930585994677.8594</v>
      </c>
      <c r="D85" s="2">
        <f t="shared" ref="D85:D148" si="16">C85*0.000000000001</f>
        <v>4.930585994677859</v>
      </c>
      <c r="E85" s="2">
        <v>1.69120607822E-21</v>
      </c>
      <c r="F85" s="2">
        <f t="shared" ref="F85:F148" si="17">sr_to_arcsec2(E85)</f>
        <v>3.9743343779529024E-32</v>
      </c>
      <c r="G85">
        <f t="shared" ref="G85:G148" si="18">Inu_to_MJy(E85)</f>
        <v>0.169120607822</v>
      </c>
      <c r="H85">
        <f t="shared" ref="H85:H148" si="19">Inu_to_Ilambda(E85,B85)</f>
        <v>1.3714277026616626E-10</v>
      </c>
      <c r="I85">
        <f t="shared" ref="I85:I148" si="20">Inu_to_Ilambda(F85,B85)</f>
        <v>3.2228551775913077E-21</v>
      </c>
      <c r="J85">
        <f t="shared" ref="J85:J148" si="21">Inu_to_Nnu(E85,C85)</f>
        <v>0.51765684580868321</v>
      </c>
      <c r="K85">
        <f t="shared" ref="K85:K148" si="22">Inu_to_Nnu(F85,C85)</f>
        <v>1.2164936164642179E-11</v>
      </c>
      <c r="L85" s="18">
        <f t="shared" ref="L85:L148" si="23">Ilambda_to_Nlambda(H85,B85)</f>
        <v>41977671908.658669</v>
      </c>
      <c r="M85" s="22">
        <f t="shared" ref="M85:M148" si="24">sr_to_arcsec2(L85)</f>
        <v>0.98647531321908788</v>
      </c>
      <c r="N85" s="21">
        <f t="shared" ref="N85:N148" si="25">L85*A85^2</f>
        <v>155.18961302894365</v>
      </c>
      <c r="O85">
        <f t="shared" ref="O85:O148" si="26">Inu_to_Antenna_Temperature(E85,C85)</f>
        <v>2.2642649275495298E-7</v>
      </c>
      <c r="P85">
        <f t="shared" ref="P85:P148" si="27">0.000139*O85*B85</f>
        <v>1.9136574061051403E-9</v>
      </c>
    </row>
    <row r="86" spans="1:16">
      <c r="A86">
        <f t="shared" si="14"/>
        <v>6.5288899999999998E-5</v>
      </c>
      <c r="B86" s="2">
        <v>65.288899999999998</v>
      </c>
      <c r="C86" s="2">
        <f t="shared" si="15"/>
        <v>4591782799220.082</v>
      </c>
      <c r="D86" s="2">
        <f t="shared" si="16"/>
        <v>4.5917827992200824</v>
      </c>
      <c r="E86" s="2">
        <v>1.9363033754533335E-21</v>
      </c>
      <c r="F86" s="2">
        <f t="shared" si="17"/>
        <v>4.55031304009384E-32</v>
      </c>
      <c r="G86">
        <f t="shared" si="18"/>
        <v>0.19363033754533335</v>
      </c>
      <c r="H86">
        <f t="shared" si="19"/>
        <v>1.3618064530844298E-10</v>
      </c>
      <c r="I86">
        <f t="shared" si="20"/>
        <v>3.2002452405492718E-21</v>
      </c>
      <c r="J86">
        <f t="shared" si="21"/>
        <v>0.63640859209105094</v>
      </c>
      <c r="K86">
        <f t="shared" si="22"/>
        <v>1.4955602268377409E-11</v>
      </c>
      <c r="L86" s="18">
        <f t="shared" si="23"/>
        <v>44758757253.37014</v>
      </c>
      <c r="M86" s="22">
        <f t="shared" si="24"/>
        <v>1.0518308203678151</v>
      </c>
      <c r="N86" s="21">
        <f t="shared" si="25"/>
        <v>190.79048975120961</v>
      </c>
      <c r="O86">
        <f t="shared" si="26"/>
        <v>2.9890867066022143E-7</v>
      </c>
      <c r="P86">
        <f t="shared" si="27"/>
        <v>2.7126431447936702E-9</v>
      </c>
    </row>
    <row r="87" spans="1:16">
      <c r="A87">
        <f t="shared" si="14"/>
        <v>7.04912E-5</v>
      </c>
      <c r="B87" s="2">
        <v>70.491200000000006</v>
      </c>
      <c r="C87" s="2">
        <f t="shared" si="15"/>
        <v>4252906008125.8364</v>
      </c>
      <c r="D87" s="2">
        <f t="shared" si="16"/>
        <v>4.2529060081258363</v>
      </c>
      <c r="E87" s="2">
        <v>2.2421347457600002E-21</v>
      </c>
      <c r="F87" s="2">
        <f t="shared" si="17"/>
        <v>5.2690167773376904E-32</v>
      </c>
      <c r="G87">
        <f t="shared" si="18"/>
        <v>0.22421347457600002</v>
      </c>
      <c r="H87">
        <f t="shared" si="19"/>
        <v>1.3527345727226093E-10</v>
      </c>
      <c r="I87">
        <f t="shared" si="20"/>
        <v>3.1789263211940347E-21</v>
      </c>
      <c r="J87">
        <f t="shared" si="21"/>
        <v>0.79564601678877156</v>
      </c>
      <c r="K87">
        <f t="shared" si="22"/>
        <v>1.8697681837408568E-11</v>
      </c>
      <c r="L87" s="18">
        <f t="shared" si="23"/>
        <v>48003264593.911812</v>
      </c>
      <c r="M87" s="22">
        <f t="shared" si="24"/>
        <v>1.1280767446765017</v>
      </c>
      <c r="N87" s="21">
        <f t="shared" si="25"/>
        <v>238.52866711455485</v>
      </c>
      <c r="O87">
        <f t="shared" si="26"/>
        <v>4.0347620181158858E-7</v>
      </c>
      <c r="P87">
        <f t="shared" si="27"/>
        <v>3.9533715075626063E-9</v>
      </c>
    </row>
    <row r="88" spans="1:16">
      <c r="A88">
        <f t="shared" si="14"/>
        <v>7.4187700000000008E-5</v>
      </c>
      <c r="B88" s="2">
        <v>74.187700000000007</v>
      </c>
      <c r="C88" s="2">
        <f t="shared" si="15"/>
        <v>4040999357036.2739</v>
      </c>
      <c r="D88" s="2">
        <f t="shared" si="16"/>
        <v>4.0409993570362737</v>
      </c>
      <c r="E88" s="2">
        <v>2.6208783363666663E-21</v>
      </c>
      <c r="F88" s="2">
        <f t="shared" si="17"/>
        <v>6.1590642363449798E-32</v>
      </c>
      <c r="G88">
        <f t="shared" si="18"/>
        <v>0.26208783363666666</v>
      </c>
      <c r="H88">
        <f t="shared" si="19"/>
        <v>1.4275907828559179E-10</v>
      </c>
      <c r="I88">
        <f t="shared" si="20"/>
        <v>3.354838419173956E-21</v>
      </c>
      <c r="J88">
        <f t="shared" si="21"/>
        <v>0.97881822805441265</v>
      </c>
      <c r="K88">
        <f t="shared" si="22"/>
        <v>2.300222890410844E-11</v>
      </c>
      <c r="L88" s="18">
        <f t="shared" si="23"/>
        <v>53316167373.072166</v>
      </c>
      <c r="M88" s="22">
        <f t="shared" si="24"/>
        <v>1.2529299629440376</v>
      </c>
      <c r="N88" s="21">
        <f t="shared" si="25"/>
        <v>293.44231273545466</v>
      </c>
      <c r="O88">
        <f t="shared" si="26"/>
        <v>5.2239267984767615E-7</v>
      </c>
      <c r="P88">
        <f t="shared" si="27"/>
        <v>5.3869604866482266E-9</v>
      </c>
    </row>
    <row r="89" spans="1:16">
      <c r="A89">
        <f t="shared" si="14"/>
        <v>8.1574600000000003E-5</v>
      </c>
      <c r="B89" s="2">
        <v>81.574600000000004</v>
      </c>
      <c r="C89" s="2">
        <f t="shared" si="15"/>
        <v>3675071014752.1406</v>
      </c>
      <c r="D89" s="2">
        <f t="shared" si="16"/>
        <v>3.6750710147521404</v>
      </c>
      <c r="E89" s="2">
        <v>3.3051308766666668E-21</v>
      </c>
      <c r="F89" s="2">
        <f t="shared" si="17"/>
        <v>7.767057744136841E-32</v>
      </c>
      <c r="G89">
        <f t="shared" si="18"/>
        <v>0.33051308766666671</v>
      </c>
      <c r="H89">
        <f t="shared" si="19"/>
        <v>1.4890162728104091E-10</v>
      </c>
      <c r="I89">
        <f t="shared" si="20"/>
        <v>3.4991883239860755E-21</v>
      </c>
      <c r="J89">
        <f t="shared" si="21"/>
        <v>1.357272014598643</v>
      </c>
      <c r="K89">
        <f t="shared" si="22"/>
        <v>3.1895893098552775E-11</v>
      </c>
      <c r="L89" s="18">
        <f t="shared" si="23"/>
        <v>61147355181.462334</v>
      </c>
      <c r="M89" s="22">
        <f t="shared" si="24"/>
        <v>1.436962880800202</v>
      </c>
      <c r="N89" s="21">
        <f t="shared" si="25"/>
        <v>406.89989985841896</v>
      </c>
      <c r="O89">
        <f t="shared" si="26"/>
        <v>7.9649852260527286E-7</v>
      </c>
      <c r="P89">
        <f t="shared" si="27"/>
        <v>9.0313927251141358E-9</v>
      </c>
    </row>
    <row r="90" spans="1:16">
      <c r="A90">
        <f t="shared" si="14"/>
        <v>8.2623599999999986E-5</v>
      </c>
      <c r="B90" s="2">
        <v>82.623599999999996</v>
      </c>
      <c r="C90" s="2">
        <f t="shared" si="15"/>
        <v>3628411833907.0195</v>
      </c>
      <c r="D90" s="2">
        <f t="shared" si="16"/>
        <v>3.6284118339070193</v>
      </c>
      <c r="E90" s="2">
        <v>3.396793902E-21</v>
      </c>
      <c r="F90" s="2">
        <f t="shared" si="17"/>
        <v>7.982465858772321E-32</v>
      </c>
      <c r="G90">
        <f t="shared" si="18"/>
        <v>0.33967939019999999</v>
      </c>
      <c r="H90">
        <f t="shared" si="19"/>
        <v>1.4917005784497408E-10</v>
      </c>
      <c r="I90">
        <f t="shared" si="20"/>
        <v>3.5054964423879195E-21</v>
      </c>
      <c r="J90">
        <f t="shared" si="21"/>
        <v>1.4128517411262105</v>
      </c>
      <c r="K90">
        <f t="shared" si="22"/>
        <v>3.3202016702887394E-11</v>
      </c>
      <c r="L90" s="18">
        <f t="shared" si="23"/>
        <v>62045323334.476814</v>
      </c>
      <c r="M90" s="22">
        <f t="shared" si="24"/>
        <v>1.4580651328958691</v>
      </c>
      <c r="N90" s="21">
        <f t="shared" si="25"/>
        <v>423.56228213328876</v>
      </c>
      <c r="O90">
        <f t="shared" si="26"/>
        <v>8.3977672179684565E-7</v>
      </c>
      <c r="P90">
        <f t="shared" si="27"/>
        <v>9.6445672571964844E-9</v>
      </c>
    </row>
    <row r="91" spans="1:16">
      <c r="A91">
        <f t="shared" si="14"/>
        <v>8.6009100000000003E-5</v>
      </c>
      <c r="B91" s="2">
        <v>86.009100000000004</v>
      </c>
      <c r="C91" s="2">
        <f t="shared" si="15"/>
        <v>3485589873629.6509</v>
      </c>
      <c r="D91" s="2">
        <f t="shared" si="16"/>
        <v>3.4855898736296509</v>
      </c>
      <c r="E91" s="2">
        <v>3.7867799851000003E-21</v>
      </c>
      <c r="F91" s="2">
        <f t="shared" si="17"/>
        <v>8.8989331757647247E-32</v>
      </c>
      <c r="G91">
        <f t="shared" si="18"/>
        <v>0.37867799851000006</v>
      </c>
      <c r="H91">
        <f t="shared" si="19"/>
        <v>1.5346238909287505E-10</v>
      </c>
      <c r="I91">
        <f t="shared" si="20"/>
        <v>3.606366229102789E-21</v>
      </c>
      <c r="J91">
        <f t="shared" si="21"/>
        <v>1.6395994217703769</v>
      </c>
      <c r="K91">
        <f t="shared" si="22"/>
        <v>3.8530587324237582E-11</v>
      </c>
      <c r="L91" s="18">
        <f t="shared" si="23"/>
        <v>66446121879.334351</v>
      </c>
      <c r="M91" s="22">
        <f t="shared" si="24"/>
        <v>1.5614839011495936</v>
      </c>
      <c r="N91" s="21">
        <f t="shared" si="25"/>
        <v>491.5395243919258</v>
      </c>
      <c r="O91">
        <f t="shared" si="26"/>
        <v>1.0144841984103185E-6</v>
      </c>
      <c r="P91">
        <f t="shared" si="27"/>
        <v>1.2128427328859514E-8</v>
      </c>
    </row>
    <row r="92" spans="1:16">
      <c r="A92">
        <f t="shared" si="14"/>
        <v>8.83966E-5</v>
      </c>
      <c r="B92" s="2">
        <v>88.396600000000007</v>
      </c>
      <c r="C92" s="2">
        <f t="shared" si="15"/>
        <v>3391447725365.0024</v>
      </c>
      <c r="D92" s="2">
        <f t="shared" si="16"/>
        <v>3.3914477253650022</v>
      </c>
      <c r="E92" s="2">
        <v>4.0718125858000001E-21</v>
      </c>
      <c r="F92" s="2">
        <f t="shared" si="17"/>
        <v>9.5687598032752068E-32</v>
      </c>
      <c r="G92">
        <f t="shared" si="18"/>
        <v>0.40718125858000004</v>
      </c>
      <c r="H92">
        <f t="shared" si="19"/>
        <v>1.5622025657348809E-10</v>
      </c>
      <c r="I92">
        <f t="shared" si="20"/>
        <v>3.6711761164322796E-21</v>
      </c>
      <c r="J92">
        <f t="shared" si="21"/>
        <v>1.8119517206091205</v>
      </c>
      <c r="K92">
        <f t="shared" si="22"/>
        <v>4.2580866442882787E-11</v>
      </c>
      <c r="L92" s="18">
        <f t="shared" si="23"/>
        <v>69517826945.052216</v>
      </c>
      <c r="M92" s="22">
        <f t="shared" si="24"/>
        <v>1.6336689719037356</v>
      </c>
      <c r="N92" s="21">
        <f t="shared" si="25"/>
        <v>543.20944197922006</v>
      </c>
      <c r="O92">
        <f t="shared" si="26"/>
        <v>1.1522462673916534E-6</v>
      </c>
      <c r="P92">
        <f t="shared" si="27"/>
        <v>1.4157796683615711E-8</v>
      </c>
    </row>
    <row r="93" spans="1:16">
      <c r="A93">
        <f t="shared" si="14"/>
        <v>9.1016399999999998E-5</v>
      </c>
      <c r="B93" s="2">
        <v>91.016400000000004</v>
      </c>
      <c r="C93" s="2">
        <f t="shared" si="15"/>
        <v>3293828892375.4399</v>
      </c>
      <c r="D93" s="2">
        <f t="shared" si="16"/>
        <v>3.2938288923754397</v>
      </c>
      <c r="E93" s="2">
        <v>4.2977033916000004E-21</v>
      </c>
      <c r="F93" s="2">
        <f t="shared" si="17"/>
        <v>1.0099603209478741E-31</v>
      </c>
      <c r="G93">
        <f t="shared" si="18"/>
        <v>0.42977033916000001</v>
      </c>
      <c r="H93">
        <f t="shared" si="19"/>
        <v>1.5553130646907592E-10</v>
      </c>
      <c r="I93">
        <f t="shared" si="20"/>
        <v>3.6549857885951105E-21</v>
      </c>
      <c r="J93">
        <f t="shared" si="21"/>
        <v>1.9691525994745851</v>
      </c>
      <c r="K93">
        <f t="shared" si="22"/>
        <v>4.6275087183722354E-11</v>
      </c>
      <c r="L93" s="18">
        <f t="shared" si="23"/>
        <v>71262450785.194672</v>
      </c>
      <c r="M93" s="22">
        <f t="shared" si="24"/>
        <v>1.6746676331181758</v>
      </c>
      <c r="N93" s="21">
        <f t="shared" si="25"/>
        <v>590.33707828204945</v>
      </c>
      <c r="O93">
        <f t="shared" si="26"/>
        <v>1.2893242585502243E-6</v>
      </c>
      <c r="P93">
        <f t="shared" si="27"/>
        <v>1.6311601689981577E-8</v>
      </c>
    </row>
    <row r="94" spans="1:16">
      <c r="A94">
        <f t="shared" si="14"/>
        <v>9.5440199999999995E-5</v>
      </c>
      <c r="B94" s="2">
        <v>95.440200000000004</v>
      </c>
      <c r="C94" s="2">
        <f t="shared" si="15"/>
        <v>3141154859273.1362</v>
      </c>
      <c r="D94" s="2">
        <f t="shared" si="16"/>
        <v>3.141154859273136</v>
      </c>
      <c r="E94" s="2">
        <v>4.8121903241999996E-21</v>
      </c>
      <c r="F94" s="2">
        <f t="shared" si="17"/>
        <v>1.1308647529726106E-31</v>
      </c>
      <c r="G94">
        <f t="shared" si="18"/>
        <v>0.48121903241999997</v>
      </c>
      <c r="H94">
        <f t="shared" si="19"/>
        <v>1.583801691594108E-10</v>
      </c>
      <c r="I94">
        <f t="shared" si="20"/>
        <v>3.7219340634037127E-21</v>
      </c>
      <c r="J94">
        <f t="shared" si="21"/>
        <v>2.3120510366087768</v>
      </c>
      <c r="K94">
        <f t="shared" si="22"/>
        <v>5.4333200647239949E-11</v>
      </c>
      <c r="L94" s="18">
        <f t="shared" si="23"/>
        <v>76094877719.568375</v>
      </c>
      <c r="M94" s="22">
        <f t="shared" si="24"/>
        <v>1.7882296687657828</v>
      </c>
      <c r="N94" s="21">
        <f t="shared" si="25"/>
        <v>693.13544016588253</v>
      </c>
      <c r="O94">
        <f t="shared" si="26"/>
        <v>1.5874201342703486E-6</v>
      </c>
      <c r="P94">
        <f t="shared" si="27"/>
        <v>2.1059013618731658E-8</v>
      </c>
    </row>
    <row r="95" spans="1:16">
      <c r="A95">
        <f t="shared" si="14"/>
        <v>9.9169700000000007E-5</v>
      </c>
      <c r="B95" s="2">
        <v>99.169700000000006</v>
      </c>
      <c r="C95" s="2">
        <f t="shared" si="15"/>
        <v>3023024653699.668</v>
      </c>
      <c r="D95" s="2">
        <f t="shared" si="16"/>
        <v>3.0230246536996681</v>
      </c>
      <c r="E95" s="2">
        <v>5.2620103951333334E-21</v>
      </c>
      <c r="F95" s="2">
        <f t="shared" si="17"/>
        <v>1.2365724721457323E-31</v>
      </c>
      <c r="G95">
        <f t="shared" si="18"/>
        <v>0.5262010395133333</v>
      </c>
      <c r="H95">
        <f t="shared" si="19"/>
        <v>1.6040370347507354E-10</v>
      </c>
      <c r="I95">
        <f t="shared" si="20"/>
        <v>3.7694871209481273E-21</v>
      </c>
      <c r="J95">
        <f t="shared" si="21"/>
        <v>2.6269631541188718</v>
      </c>
      <c r="K95">
        <f t="shared" si="22"/>
        <v>6.1733635584013553E-11</v>
      </c>
      <c r="L95" s="18">
        <f t="shared" si="23"/>
        <v>80078636713.250015</v>
      </c>
      <c r="M95" s="22">
        <f t="shared" si="24"/>
        <v>1.8818480073347412</v>
      </c>
      <c r="N95" s="21">
        <f t="shared" si="25"/>
        <v>787.54371477909785</v>
      </c>
      <c r="O95">
        <f t="shared" si="26"/>
        <v>1.8741144446697713E-6</v>
      </c>
      <c r="P95">
        <f t="shared" si="27"/>
        <v>2.5833896046855929E-8</v>
      </c>
    </row>
    <row r="96" spans="1:16">
      <c r="A96">
        <f t="shared" si="14"/>
        <v>1.0192299999999999E-4</v>
      </c>
      <c r="B96" s="2">
        <v>101.923</v>
      </c>
      <c r="C96" s="2">
        <f t="shared" si="15"/>
        <v>2941362087065.7261</v>
      </c>
      <c r="D96" s="2">
        <f t="shared" si="16"/>
        <v>2.941362087065726</v>
      </c>
      <c r="E96" s="2">
        <v>5.6416418960000002E-21</v>
      </c>
      <c r="F96" s="2">
        <f t="shared" si="17"/>
        <v>1.3257858769625036E-31</v>
      </c>
      <c r="G96">
        <f t="shared" si="18"/>
        <v>0.56416418960000003</v>
      </c>
      <c r="H96">
        <f t="shared" si="19"/>
        <v>1.6281027424326208E-10</v>
      </c>
      <c r="I96">
        <f t="shared" si="20"/>
        <v>3.8260415353401034E-21</v>
      </c>
      <c r="J96">
        <f t="shared" si="21"/>
        <v>2.8946828910396776</v>
      </c>
      <c r="K96">
        <f t="shared" si="22"/>
        <v>6.8025049550670627E-11</v>
      </c>
      <c r="L96" s="18">
        <f t="shared" si="23"/>
        <v>83536694463.290085</v>
      </c>
      <c r="M96" s="22">
        <f t="shared" si="24"/>
        <v>1.9631123663855066</v>
      </c>
      <c r="N96" s="21">
        <f t="shared" si="25"/>
        <v>867.80407008850204</v>
      </c>
      <c r="O96">
        <f t="shared" si="26"/>
        <v>2.122444387235393E-6</v>
      </c>
      <c r="P96">
        <f t="shared" si="27"/>
        <v>3.0069299999946821E-8</v>
      </c>
    </row>
    <row r="97" spans="1:16">
      <c r="A97">
        <f t="shared" si="14"/>
        <v>1.0746299999999998E-4</v>
      </c>
      <c r="B97" s="2">
        <v>107.46299999999999</v>
      </c>
      <c r="C97" s="2">
        <f t="shared" si="15"/>
        <v>2789727143295.832</v>
      </c>
      <c r="D97" s="2">
        <f t="shared" si="16"/>
        <v>2.7897271432958322</v>
      </c>
      <c r="E97" s="2">
        <v>6.360914075E-21</v>
      </c>
      <c r="F97" s="2">
        <f t="shared" si="17"/>
        <v>1.494814843031116E-31</v>
      </c>
      <c r="G97">
        <f t="shared" si="18"/>
        <v>0.63609140750000004</v>
      </c>
      <c r="H97">
        <f t="shared" si="19"/>
        <v>1.6512859915691916E-10</v>
      </c>
      <c r="I97">
        <f t="shared" si="20"/>
        <v>3.8805221721014705E-21</v>
      </c>
      <c r="J97">
        <f t="shared" si="21"/>
        <v>3.4411354663150644</v>
      </c>
      <c r="K97">
        <f t="shared" si="22"/>
        <v>8.0866685373808625E-11</v>
      </c>
      <c r="L97" s="18">
        <f t="shared" si="23"/>
        <v>89331481664.73201</v>
      </c>
      <c r="M97" s="22">
        <f t="shared" si="24"/>
        <v>2.099289868844886</v>
      </c>
      <c r="N97" s="21">
        <f t="shared" si="25"/>
        <v>1031.6264253462143</v>
      </c>
      <c r="O97">
        <f t="shared" si="26"/>
        <v>2.6602586088589985E-6</v>
      </c>
      <c r="P97">
        <f t="shared" si="27"/>
        <v>3.973723255285022E-8</v>
      </c>
    </row>
    <row r="98" spans="1:16">
      <c r="A98">
        <f t="shared" si="14"/>
        <v>1.15182E-4</v>
      </c>
      <c r="B98" s="2">
        <v>115.182</v>
      </c>
      <c r="C98" s="2">
        <f t="shared" si="15"/>
        <v>2602771683075.4805</v>
      </c>
      <c r="D98" s="2">
        <f t="shared" si="16"/>
        <v>2.6027716830754803</v>
      </c>
      <c r="E98" s="2">
        <v>7.3120221180000003E-21</v>
      </c>
      <c r="F98" s="2">
        <f t="shared" si="17"/>
        <v>1.718325238430173E-31</v>
      </c>
      <c r="G98">
        <f t="shared" si="18"/>
        <v>0.7312022118</v>
      </c>
      <c r="H98">
        <f t="shared" si="19"/>
        <v>1.6523001957555868E-10</v>
      </c>
      <c r="I98">
        <f t="shared" si="20"/>
        <v>3.8829055519959522E-21</v>
      </c>
      <c r="J98">
        <f t="shared" si="21"/>
        <v>4.2398002091299789</v>
      </c>
      <c r="K98">
        <f t="shared" si="22"/>
        <v>9.9635307274511832E-11</v>
      </c>
      <c r="L98" s="18">
        <f t="shared" si="23"/>
        <v>95806913634.257156</v>
      </c>
      <c r="M98" s="22">
        <f t="shared" si="24"/>
        <v>2.2514625237330814</v>
      </c>
      <c r="N98" s="21">
        <f t="shared" si="25"/>
        <v>1271.0600837259881</v>
      </c>
      <c r="O98">
        <f t="shared" si="26"/>
        <v>3.5131212119880426E-6</v>
      </c>
      <c r="P98">
        <f t="shared" si="27"/>
        <v>5.6246117514049731E-8</v>
      </c>
    </row>
    <row r="99" spans="1:16">
      <c r="A99">
        <f t="shared" si="14"/>
        <v>1.2012099999999998E-4</v>
      </c>
      <c r="B99" s="2">
        <v>120.121</v>
      </c>
      <c r="C99" s="2">
        <f t="shared" si="15"/>
        <v>2495753848203.062</v>
      </c>
      <c r="D99" s="2">
        <f t="shared" si="16"/>
        <v>2.4957538482030621</v>
      </c>
      <c r="E99" s="2">
        <v>7.9317097509999999E-21</v>
      </c>
      <c r="F99" s="2">
        <f t="shared" si="17"/>
        <v>1.8639518356344779E-31</v>
      </c>
      <c r="G99">
        <f t="shared" si="18"/>
        <v>0.79317097510000001</v>
      </c>
      <c r="H99">
        <f t="shared" si="19"/>
        <v>1.6479712235069637E-10</v>
      </c>
      <c r="I99">
        <f t="shared" si="20"/>
        <v>3.8727324669707297E-21</v>
      </c>
      <c r="J99">
        <f t="shared" si="21"/>
        <v>4.7963297426049154</v>
      </c>
      <c r="K99">
        <f t="shared" si="22"/>
        <v>1.1271375162094827E-10</v>
      </c>
      <c r="L99" s="18">
        <f t="shared" si="23"/>
        <v>99653336322.183609</v>
      </c>
      <c r="M99" s="22">
        <f t="shared" si="24"/>
        <v>2.3418534590403488</v>
      </c>
      <c r="N99" s="21">
        <f t="shared" si="25"/>
        <v>1437.9034349507369</v>
      </c>
      <c r="O99">
        <f t="shared" si="26"/>
        <v>4.1446808920629837E-6</v>
      </c>
      <c r="P99">
        <f t="shared" si="27"/>
        <v>6.9202986667534162E-8</v>
      </c>
    </row>
    <row r="100" spans="1:16">
      <c r="A100">
        <f t="shared" si="14"/>
        <v>1.2390699999999998E-4</v>
      </c>
      <c r="B100" s="2">
        <v>123.907</v>
      </c>
      <c r="C100" s="2">
        <f t="shared" si="15"/>
        <v>2419495653998.5635</v>
      </c>
      <c r="D100" s="2">
        <f t="shared" si="16"/>
        <v>2.4194956539985633</v>
      </c>
      <c r="E100" s="2">
        <v>8.4237760926666658E-21</v>
      </c>
      <c r="F100" s="2">
        <f t="shared" si="17"/>
        <v>1.9795874286650835E-31</v>
      </c>
      <c r="G100">
        <f t="shared" si="18"/>
        <v>0.8423776092666666</v>
      </c>
      <c r="H100">
        <f t="shared" si="19"/>
        <v>1.6448860553854099E-10</v>
      </c>
      <c r="I100">
        <f t="shared" si="20"/>
        <v>3.8654823217133503E-21</v>
      </c>
      <c r="J100">
        <f t="shared" si="21"/>
        <v>5.2544339473063131</v>
      </c>
      <c r="K100">
        <f t="shared" si="22"/>
        <v>1.2347920068642105E-10</v>
      </c>
      <c r="L100" s="18">
        <f t="shared" si="23"/>
        <v>102601790857.09558</v>
      </c>
      <c r="M100" s="22">
        <f t="shared" si="24"/>
        <v>2.4111421422519488</v>
      </c>
      <c r="N100" s="21">
        <f t="shared" si="25"/>
        <v>1575.239615917262</v>
      </c>
      <c r="O100">
        <f t="shared" si="26"/>
        <v>4.6836550963434654E-6</v>
      </c>
      <c r="P100">
        <f t="shared" si="27"/>
        <v>8.0666933631145529E-8</v>
      </c>
    </row>
    <row r="101" spans="1:16">
      <c r="A101">
        <f t="shared" si="14"/>
        <v>1.2992900000000001E-4</v>
      </c>
      <c r="B101" s="2">
        <v>129.929</v>
      </c>
      <c r="C101" s="2">
        <f t="shared" si="15"/>
        <v>2307355925159.1255</v>
      </c>
      <c r="D101" s="2">
        <f t="shared" si="16"/>
        <v>2.3073559251591256</v>
      </c>
      <c r="E101" s="2">
        <v>9.1477378643333338E-21</v>
      </c>
      <c r="F101" s="2">
        <f t="shared" si="17"/>
        <v>2.1497184490364664E-31</v>
      </c>
      <c r="G101">
        <f t="shared" si="18"/>
        <v>0.9147737864333334</v>
      </c>
      <c r="H101">
        <f t="shared" si="19"/>
        <v>1.6245093214811166E-10</v>
      </c>
      <c r="I101">
        <f t="shared" si="20"/>
        <v>3.8175969959040515E-21</v>
      </c>
      <c r="J101">
        <f t="shared" si="21"/>
        <v>5.9833318044773502</v>
      </c>
      <c r="K101">
        <f t="shared" si="22"/>
        <v>1.4060830073565953E-10</v>
      </c>
      <c r="L101" s="18">
        <f t="shared" si="23"/>
        <v>106255540266.252</v>
      </c>
      <c r="M101" s="22">
        <f t="shared" si="24"/>
        <v>2.4970052554008744</v>
      </c>
      <c r="N101" s="21">
        <f t="shared" si="25"/>
        <v>1793.7576888605226</v>
      </c>
      <c r="O101">
        <f t="shared" si="26"/>
        <v>5.5925813524911162E-6</v>
      </c>
      <c r="P101">
        <f t="shared" si="27"/>
        <v>1.0100275185414673E-7</v>
      </c>
    </row>
    <row r="102" spans="1:16">
      <c r="A102">
        <f t="shared" si="14"/>
        <v>1.4391300000000002E-4</v>
      </c>
      <c r="B102" s="2">
        <v>143.91300000000001</v>
      </c>
      <c r="C102" s="2">
        <f t="shared" si="15"/>
        <v>2083150570136.1238</v>
      </c>
      <c r="D102" s="2">
        <f t="shared" si="16"/>
        <v>2.0831505701361239</v>
      </c>
      <c r="E102" s="2">
        <v>1.0946262635000001E-20</v>
      </c>
      <c r="F102" s="2">
        <f t="shared" si="17"/>
        <v>2.5723717801540807E-31</v>
      </c>
      <c r="G102">
        <f t="shared" si="18"/>
        <v>1.0946262635000001</v>
      </c>
      <c r="H102">
        <f t="shared" si="19"/>
        <v>1.5844790428217045E-10</v>
      </c>
      <c r="I102">
        <f t="shared" si="20"/>
        <v>3.7235258388262688E-21</v>
      </c>
      <c r="J102">
        <f t="shared" si="21"/>
        <v>7.9302918560523556</v>
      </c>
      <c r="K102">
        <f t="shared" si="22"/>
        <v>1.8636186303138891E-10</v>
      </c>
      <c r="L102" s="18">
        <f t="shared" si="23"/>
        <v>114791519885.49553</v>
      </c>
      <c r="M102" s="22">
        <f t="shared" si="24"/>
        <v>2.6976007812043936</v>
      </c>
      <c r="N102" s="21">
        <f t="shared" si="25"/>
        <v>2377.4416088803987</v>
      </c>
      <c r="O102">
        <f t="shared" si="26"/>
        <v>8.2101733042820792E-6</v>
      </c>
      <c r="P102">
        <f t="shared" si="27"/>
        <v>1.6423554323274141E-7</v>
      </c>
    </row>
    <row r="103" spans="1:16">
      <c r="A103">
        <f t="shared" si="14"/>
        <v>1.59693E-4</v>
      </c>
      <c r="B103" s="2">
        <v>159.69300000000001</v>
      </c>
      <c r="C103" s="2">
        <f t="shared" si="15"/>
        <v>1877304878736.0747</v>
      </c>
      <c r="D103" s="2">
        <f t="shared" si="16"/>
        <v>1.8773048787360747</v>
      </c>
      <c r="E103" s="2">
        <v>1.2451316441000002E-20</v>
      </c>
      <c r="F103" s="2">
        <f t="shared" si="17"/>
        <v>2.9260594329415104E-31</v>
      </c>
      <c r="G103">
        <f t="shared" si="18"/>
        <v>1.2451316441000002</v>
      </c>
      <c r="H103">
        <f t="shared" si="19"/>
        <v>1.4637408716334467E-10</v>
      </c>
      <c r="I103">
        <f t="shared" si="20"/>
        <v>3.4397911298133353E-21</v>
      </c>
      <c r="J103">
        <f t="shared" si="21"/>
        <v>10.009777648894959</v>
      </c>
      <c r="K103">
        <f t="shared" si="22"/>
        <v>2.3522978032067334E-10</v>
      </c>
      <c r="L103" s="18">
        <f t="shared" si="23"/>
        <v>117672060862.61652</v>
      </c>
      <c r="M103" s="22">
        <f t="shared" si="24"/>
        <v>2.7652934957701034</v>
      </c>
      <c r="N103" s="21">
        <f t="shared" si="25"/>
        <v>3000.8557452979039</v>
      </c>
      <c r="O103">
        <f t="shared" si="26"/>
        <v>1.149935382990617E-5</v>
      </c>
      <c r="P103">
        <f t="shared" si="27"/>
        <v>2.5525491725112966E-7</v>
      </c>
    </row>
    <row r="104" spans="1:16">
      <c r="A104">
        <f t="shared" si="14"/>
        <v>1.67455E-4</v>
      </c>
      <c r="B104" s="2">
        <v>167.45500000000001</v>
      </c>
      <c r="C104" s="2">
        <f t="shared" si="15"/>
        <v>1790286632229.554</v>
      </c>
      <c r="D104" s="2">
        <f t="shared" si="16"/>
        <v>1.7902866322295539</v>
      </c>
      <c r="E104" s="2">
        <v>1.3229000818333333E-20</v>
      </c>
      <c r="F104" s="2">
        <f t="shared" si="17"/>
        <v>3.1088152659435895E-31</v>
      </c>
      <c r="G104">
        <f t="shared" si="18"/>
        <v>1.3229000818333332</v>
      </c>
      <c r="H104">
        <f t="shared" si="19"/>
        <v>1.4143324070834553E-10</v>
      </c>
      <c r="I104">
        <f t="shared" si="20"/>
        <v>3.323681235370681E-21</v>
      </c>
      <c r="J104">
        <f t="shared" si="21"/>
        <v>11.151889131038786</v>
      </c>
      <c r="K104">
        <f t="shared" si="22"/>
        <v>2.6206940078677529E-10</v>
      </c>
      <c r="L104" s="18">
        <f t="shared" si="23"/>
        <v>119226526740.94411</v>
      </c>
      <c r="M104" s="22">
        <f t="shared" si="24"/>
        <v>2.8018234447760486</v>
      </c>
      <c r="N104" s="21">
        <f t="shared" si="25"/>
        <v>3343.2521424187103</v>
      </c>
      <c r="O104">
        <f t="shared" si="26"/>
        <v>1.3434134431832139E-5</v>
      </c>
      <c r="P104">
        <f t="shared" si="27"/>
        <v>3.1269620439826063E-7</v>
      </c>
    </row>
    <row r="105" spans="1:16">
      <c r="A105">
        <f t="shared" si="14"/>
        <v>1.7368099999999999E-4</v>
      </c>
      <c r="B105" s="2">
        <v>173.68100000000001</v>
      </c>
      <c r="C105" s="2">
        <f t="shared" si="15"/>
        <v>1726109637784.2134</v>
      </c>
      <c r="D105" s="2">
        <f t="shared" si="16"/>
        <v>1.7261096377842133</v>
      </c>
      <c r="E105" s="2">
        <v>1.3463230077000001E-20</v>
      </c>
      <c r="F105" s="2">
        <f t="shared" si="17"/>
        <v>3.1638591430340231E-31</v>
      </c>
      <c r="G105">
        <f t="shared" si="18"/>
        <v>1.3463230077000001</v>
      </c>
      <c r="H105">
        <f t="shared" si="19"/>
        <v>1.3380284079211891E-10</v>
      </c>
      <c r="I105">
        <f t="shared" si="20"/>
        <v>3.1443668330921228E-21</v>
      </c>
      <c r="J105">
        <f t="shared" si="21"/>
        <v>11.771311674574511</v>
      </c>
      <c r="K105">
        <f t="shared" si="22"/>
        <v>2.7662583090464777E-10</v>
      </c>
      <c r="L105" s="18">
        <f t="shared" si="23"/>
        <v>116987894650.79597</v>
      </c>
      <c r="M105" s="22">
        <f t="shared" si="24"/>
        <v>2.7492155894115</v>
      </c>
      <c r="N105" s="21">
        <f t="shared" si="25"/>
        <v>3528.9503430916725</v>
      </c>
      <c r="O105">
        <f t="shared" si="26"/>
        <v>1.4707548764181281E-5</v>
      </c>
      <c r="P105">
        <f t="shared" si="27"/>
        <v>3.5506462699073585E-7</v>
      </c>
    </row>
    <row r="106" spans="1:16">
      <c r="A106">
        <f t="shared" si="14"/>
        <v>1.8547799999999999E-4</v>
      </c>
      <c r="B106" s="2">
        <v>185.47800000000001</v>
      </c>
      <c r="C106" s="2">
        <f t="shared" si="15"/>
        <v>1616323488499.9836</v>
      </c>
      <c r="D106" s="2">
        <f t="shared" si="16"/>
        <v>1.6163234884999835</v>
      </c>
      <c r="E106" s="2">
        <v>1.3702372727999998E-20</v>
      </c>
      <c r="F106" s="2">
        <f t="shared" si="17"/>
        <v>3.2200576673501382E-31</v>
      </c>
      <c r="G106">
        <f t="shared" si="18"/>
        <v>1.3702372727999999</v>
      </c>
      <c r="H106">
        <f t="shared" si="19"/>
        <v>1.1940751403642477E-10</v>
      </c>
      <c r="I106">
        <f t="shared" si="20"/>
        <v>2.8060766463205858E-21</v>
      </c>
      <c r="J106">
        <f t="shared" si="21"/>
        <v>12.794150686322476</v>
      </c>
      <c r="K106">
        <f t="shared" si="22"/>
        <v>3.0066254825005755E-10</v>
      </c>
      <c r="L106" s="18">
        <f t="shared" si="23"/>
        <v>111492933230.41655</v>
      </c>
      <c r="M106" s="22">
        <f t="shared" si="24"/>
        <v>2.6200839929739783</v>
      </c>
      <c r="N106" s="21">
        <f t="shared" si="25"/>
        <v>3835.5897543334936</v>
      </c>
      <c r="O106">
        <f t="shared" si="26"/>
        <v>1.7071315661245965E-5</v>
      </c>
      <c r="P106">
        <f t="shared" si="27"/>
        <v>4.4012313458410448E-7</v>
      </c>
    </row>
    <row r="107" spans="1:16">
      <c r="A107">
        <f t="shared" si="14"/>
        <v>1.8820599999999998E-4</v>
      </c>
      <c r="B107" s="2">
        <v>188.20599999999999</v>
      </c>
      <c r="C107" s="2">
        <f t="shared" si="15"/>
        <v>1592895274327.0671</v>
      </c>
      <c r="D107" s="2">
        <f t="shared" si="16"/>
        <v>1.592895274327067</v>
      </c>
      <c r="E107" s="2">
        <v>1.3762689220666667E-20</v>
      </c>
      <c r="F107" s="2">
        <f t="shared" si="17"/>
        <v>3.2342320434625391E-31</v>
      </c>
      <c r="G107">
        <f t="shared" si="18"/>
        <v>1.3762689220666666</v>
      </c>
      <c r="H107">
        <f t="shared" si="19"/>
        <v>1.164815288653497E-10</v>
      </c>
      <c r="I107">
        <f t="shared" si="20"/>
        <v>2.7373159931716592E-21</v>
      </c>
      <c r="J107">
        <f t="shared" si="21"/>
        <v>13.039473255074043</v>
      </c>
      <c r="K107">
        <f t="shared" si="22"/>
        <v>3.0642762875227082E-10</v>
      </c>
      <c r="L107" s="18">
        <f t="shared" si="23"/>
        <v>110360537537.17537</v>
      </c>
      <c r="M107" s="22">
        <f t="shared" si="24"/>
        <v>2.5934726935524965</v>
      </c>
      <c r="N107" s="21">
        <f t="shared" si="25"/>
        <v>3909.1356077691762</v>
      </c>
      <c r="O107">
        <f t="shared" si="26"/>
        <v>1.7654549489032994E-5</v>
      </c>
      <c r="P107">
        <f t="shared" si="27"/>
        <v>4.6185420761747911E-7</v>
      </c>
    </row>
    <row r="108" spans="1:16">
      <c r="A108">
        <f t="shared" si="14"/>
        <v>2.0209299999999998E-4</v>
      </c>
      <c r="B108" s="2">
        <v>202.09299999999999</v>
      </c>
      <c r="C108" s="2">
        <f t="shared" si="15"/>
        <v>1483438060694.8286</v>
      </c>
      <c r="D108" s="2">
        <f t="shared" si="16"/>
        <v>1.4834380606948285</v>
      </c>
      <c r="E108" s="2">
        <v>1.3941048783333334E-20</v>
      </c>
      <c r="F108" s="2">
        <f t="shared" si="17"/>
        <v>3.2761465416819908E-31</v>
      </c>
      <c r="G108">
        <f t="shared" si="18"/>
        <v>1.3941048783333334</v>
      </c>
      <c r="H108">
        <f t="shared" si="19"/>
        <v>1.0233250222026494E-10</v>
      </c>
      <c r="I108">
        <f t="shared" si="20"/>
        <v>2.4048138591365373E-21</v>
      </c>
      <c r="J108">
        <f t="shared" si="21"/>
        <v>14.183061891460278</v>
      </c>
      <c r="K108">
        <f t="shared" si="22"/>
        <v>3.3330196234389156E-10</v>
      </c>
      <c r="L108" s="18">
        <f t="shared" si="23"/>
        <v>104108968776.66501</v>
      </c>
      <c r="M108" s="22">
        <f t="shared" si="24"/>
        <v>2.4465608242007555</v>
      </c>
      <c r="N108" s="21">
        <f t="shared" si="25"/>
        <v>4251.9748445763862</v>
      </c>
      <c r="O108">
        <f t="shared" si="26"/>
        <v>2.0619797508716913E-5</v>
      </c>
      <c r="P108">
        <f t="shared" si="27"/>
        <v>5.7922922657214855E-7</v>
      </c>
    </row>
    <row r="109" spans="1:16">
      <c r="A109">
        <f t="shared" si="14"/>
        <v>2.04692E-4</v>
      </c>
      <c r="B109" s="2">
        <v>204.69200000000001</v>
      </c>
      <c r="C109" s="2">
        <f t="shared" si="15"/>
        <v>1464602661559.8069</v>
      </c>
      <c r="D109" s="2">
        <f t="shared" si="16"/>
        <v>1.4646026615598069</v>
      </c>
      <c r="E109" s="2">
        <v>1.3997316574666666E-20</v>
      </c>
      <c r="F109" s="2">
        <f t="shared" si="17"/>
        <v>3.2893694729585213E-31</v>
      </c>
      <c r="G109">
        <f t="shared" si="18"/>
        <v>1.3997316574666665</v>
      </c>
      <c r="H109">
        <f t="shared" si="19"/>
        <v>1.0015294740366989E-10</v>
      </c>
      <c r="I109">
        <f t="shared" si="20"/>
        <v>2.3535943197333697E-21</v>
      </c>
      <c r="J109">
        <f t="shared" si="21"/>
        <v>14.423442739226603</v>
      </c>
      <c r="K109">
        <f t="shared" si="22"/>
        <v>3.3895091240020095E-10</v>
      </c>
      <c r="L109" s="18">
        <f t="shared" si="23"/>
        <v>103201945482.61171</v>
      </c>
      <c r="M109" s="22">
        <f t="shared" si="24"/>
        <v>2.4252457762856356</v>
      </c>
      <c r="N109" s="21">
        <f t="shared" si="25"/>
        <v>4324.0392073805688</v>
      </c>
      <c r="O109">
        <f t="shared" si="26"/>
        <v>2.1238944560843721E-5</v>
      </c>
      <c r="P109">
        <f t="shared" si="27"/>
        <v>6.0429444356670299E-7</v>
      </c>
    </row>
    <row r="110" spans="1:16">
      <c r="A110">
        <f t="shared" si="14"/>
        <v>2.05816E-4</v>
      </c>
      <c r="B110" s="2">
        <v>205.816</v>
      </c>
      <c r="C110" s="2">
        <f t="shared" si="15"/>
        <v>1456604190150.4255</v>
      </c>
      <c r="D110" s="2">
        <f t="shared" si="16"/>
        <v>1.4566041901504254</v>
      </c>
      <c r="E110" s="2">
        <v>1.3992332154666665E-20</v>
      </c>
      <c r="F110" s="2">
        <f t="shared" si="17"/>
        <v>3.2881981342307766E-31</v>
      </c>
      <c r="G110">
        <f t="shared" si="18"/>
        <v>1.3992332154666665</v>
      </c>
      <c r="H110">
        <f t="shared" si="19"/>
        <v>9.9026750332646603E-11</v>
      </c>
      <c r="I110">
        <f t="shared" si="20"/>
        <v>2.327128687937459E-21</v>
      </c>
      <c r="J110">
        <f t="shared" si="21"/>
        <v>14.497480049719748</v>
      </c>
      <c r="K110">
        <f t="shared" si="22"/>
        <v>3.4069078923800054E-10</v>
      </c>
      <c r="L110" s="18">
        <f t="shared" si="23"/>
        <v>102601790857.09557</v>
      </c>
      <c r="M110" s="22">
        <f t="shared" si="24"/>
        <v>2.4111421422519483</v>
      </c>
      <c r="N110" s="21">
        <f t="shared" si="25"/>
        <v>4346.235033936644</v>
      </c>
      <c r="O110">
        <f t="shared" si="26"/>
        <v>2.1465192146162068E-5</v>
      </c>
      <c r="P110">
        <f t="shared" si="27"/>
        <v>6.1408531815887445E-7</v>
      </c>
    </row>
    <row r="111" spans="1:16">
      <c r="A111">
        <f t="shared" si="14"/>
        <v>2.1464099999999998E-4</v>
      </c>
      <c r="B111" s="2">
        <v>214.64099999999999</v>
      </c>
      <c r="C111" s="2">
        <f t="shared" si="15"/>
        <v>1396715669420.1016</v>
      </c>
      <c r="D111" s="2">
        <f t="shared" si="16"/>
        <v>1.3967156694201015</v>
      </c>
      <c r="E111" s="2">
        <v>1.4111071715999999E-20</v>
      </c>
      <c r="F111" s="2">
        <f t="shared" si="17"/>
        <v>3.3161019318050385E-31</v>
      </c>
      <c r="G111">
        <f t="shared" si="18"/>
        <v>1.4111071715999999</v>
      </c>
      <c r="H111">
        <f t="shared" si="19"/>
        <v>9.1823812682795929E-11</v>
      </c>
      <c r="I111">
        <f t="shared" si="20"/>
        <v>2.1578596491566695E-21</v>
      </c>
      <c r="J111">
        <f t="shared" si="21"/>
        <v>15.24740591978351</v>
      </c>
      <c r="K111">
        <f t="shared" si="22"/>
        <v>3.5831404760192268E-10</v>
      </c>
      <c r="L111" s="18">
        <f t="shared" si="23"/>
        <v>99218186488.930099</v>
      </c>
      <c r="M111" s="22">
        <f t="shared" si="24"/>
        <v>2.3316274377166781</v>
      </c>
      <c r="N111" s="21">
        <f t="shared" si="25"/>
        <v>4571.0571463415899</v>
      </c>
      <c r="O111">
        <f t="shared" si="26"/>
        <v>2.3543540471081479E-5</v>
      </c>
      <c r="P111">
        <f t="shared" si="27"/>
        <v>7.0242386076522247E-7</v>
      </c>
    </row>
    <row r="112" spans="1:16">
      <c r="A112">
        <f t="shared" si="14"/>
        <v>2.24663E-4</v>
      </c>
      <c r="B112" s="2">
        <v>224.66300000000001</v>
      </c>
      <c r="C112" s="2">
        <f t="shared" si="15"/>
        <v>1334409528938.8994</v>
      </c>
      <c r="D112" s="2">
        <f t="shared" si="16"/>
        <v>1.3344095289388993</v>
      </c>
      <c r="E112" s="2">
        <v>1.4262131453666667E-20</v>
      </c>
      <c r="F112" s="2">
        <f t="shared" si="17"/>
        <v>3.3516009709975339E-31</v>
      </c>
      <c r="G112">
        <f t="shared" si="18"/>
        <v>1.4262131453666667</v>
      </c>
      <c r="H112">
        <f t="shared" si="19"/>
        <v>8.4711430519275511E-11</v>
      </c>
      <c r="I112">
        <f t="shared" si="20"/>
        <v>1.990718664355046E-21</v>
      </c>
      <c r="J112">
        <f t="shared" si="21"/>
        <v>16.130182055076347</v>
      </c>
      <c r="K112">
        <f t="shared" si="22"/>
        <v>3.7905928727267506E-10</v>
      </c>
      <c r="L112" s="18">
        <f t="shared" si="23"/>
        <v>95806913634.257141</v>
      </c>
      <c r="M112" s="22">
        <f t="shared" si="24"/>
        <v>2.251462523733081</v>
      </c>
      <c r="N112" s="21">
        <f t="shared" si="25"/>
        <v>4835.706764977007</v>
      </c>
      <c r="O112">
        <f t="shared" si="26"/>
        <v>2.6069574940738048E-5</v>
      </c>
      <c r="P112">
        <f t="shared" si="27"/>
        <v>8.1410477917263351E-7</v>
      </c>
    </row>
    <row r="113" spans="1:16">
      <c r="A113">
        <f t="shared" si="14"/>
        <v>2.3259100000000001E-4</v>
      </c>
      <c r="B113" s="2">
        <v>232.59100000000001</v>
      </c>
      <c r="C113" s="2">
        <f t="shared" si="15"/>
        <v>1288925401240.8047</v>
      </c>
      <c r="D113" s="2">
        <f t="shared" si="16"/>
        <v>1.2889254012408047</v>
      </c>
      <c r="E113" s="2">
        <v>1.4424983698666667E-20</v>
      </c>
      <c r="F113" s="2">
        <f t="shared" si="17"/>
        <v>3.3898712494790021E-31</v>
      </c>
      <c r="G113">
        <f t="shared" si="18"/>
        <v>1.4424983698666667</v>
      </c>
      <c r="H113">
        <f t="shared" si="19"/>
        <v>7.9937434817753044E-11</v>
      </c>
      <c r="I113">
        <f t="shared" si="20"/>
        <v>1.8785297627119666E-21</v>
      </c>
      <c r="J113">
        <f t="shared" si="21"/>
        <v>16.890072633127239</v>
      </c>
      <c r="K113">
        <f t="shared" si="22"/>
        <v>3.969167162798413E-10</v>
      </c>
      <c r="L113" s="18">
        <f t="shared" si="23"/>
        <v>93597962284.180634</v>
      </c>
      <c r="M113" s="22">
        <f t="shared" si="24"/>
        <v>2.199552165776737</v>
      </c>
      <c r="N113" s="21">
        <f t="shared" si="25"/>
        <v>5063.5162215830205</v>
      </c>
      <c r="O113">
        <f t="shared" si="26"/>
        <v>2.8261001638245799E-5</v>
      </c>
      <c r="P113">
        <f t="shared" si="27"/>
        <v>9.1368239385373066E-7</v>
      </c>
    </row>
    <row r="114" spans="1:16">
      <c r="A114">
        <f t="shared" si="14"/>
        <v>2.5066599999999997E-4</v>
      </c>
      <c r="B114" s="2">
        <v>250.666</v>
      </c>
      <c r="C114" s="2">
        <f t="shared" si="15"/>
        <v>1195983691445.9878</v>
      </c>
      <c r="D114" s="2">
        <f t="shared" si="16"/>
        <v>1.1959836914459878</v>
      </c>
      <c r="E114" s="2">
        <v>1.4729551936666667E-20</v>
      </c>
      <c r="F114" s="2">
        <f t="shared" si="17"/>
        <v>3.4614447871042897E-31</v>
      </c>
      <c r="G114">
        <f t="shared" si="18"/>
        <v>1.4729551936666667</v>
      </c>
      <c r="H114">
        <f t="shared" si="19"/>
        <v>7.0277995015518659E-11</v>
      </c>
      <c r="I114">
        <f t="shared" si="20"/>
        <v>1.6515329219828218E-21</v>
      </c>
      <c r="J114">
        <f t="shared" si="21"/>
        <v>18.586954986486109</v>
      </c>
      <c r="K114">
        <f t="shared" si="22"/>
        <v>4.3679345252829332E-10</v>
      </c>
      <c r="L114" s="18">
        <f t="shared" si="23"/>
        <v>88682529890.284561</v>
      </c>
      <c r="M114" s="22">
        <f t="shared" si="24"/>
        <v>2.0840395017841513</v>
      </c>
      <c r="N114" s="21">
        <f t="shared" si="25"/>
        <v>5572.2287362644774</v>
      </c>
      <c r="O114">
        <f t="shared" si="26"/>
        <v>3.3517128557381806E-5</v>
      </c>
      <c r="P114">
        <f t="shared" si="27"/>
        <v>1.1678230320280886E-6</v>
      </c>
    </row>
    <row r="115" spans="1:16">
      <c r="A115">
        <f t="shared" si="14"/>
        <v>2.5762400000000003E-4</v>
      </c>
      <c r="B115" s="2">
        <v>257.62400000000002</v>
      </c>
      <c r="C115" s="2">
        <f t="shared" si="15"/>
        <v>1163682141415.396</v>
      </c>
      <c r="D115" s="2">
        <f t="shared" si="16"/>
        <v>1.1636821414153959</v>
      </c>
      <c r="E115" s="2">
        <v>1.4364341368000002E-20</v>
      </c>
      <c r="F115" s="2">
        <f t="shared" si="17"/>
        <v>3.3756203014347885E-31</v>
      </c>
      <c r="G115">
        <f t="shared" si="18"/>
        <v>1.4364341368000002</v>
      </c>
      <c r="H115">
        <f t="shared" si="19"/>
        <v>6.4883425158898248E-11</v>
      </c>
      <c r="I115">
        <f t="shared" si="20"/>
        <v>1.5247605273495169E-21</v>
      </c>
      <c r="J115">
        <f t="shared" si="21"/>
        <v>18.629247682493478</v>
      </c>
      <c r="K115">
        <f t="shared" si="22"/>
        <v>4.3778733090800742E-10</v>
      </c>
      <c r="L115" s="18">
        <f t="shared" si="23"/>
        <v>84147916483.409195</v>
      </c>
      <c r="M115" s="22">
        <f t="shared" si="24"/>
        <v>1.9774760841985242</v>
      </c>
      <c r="N115" s="21">
        <f t="shared" si="25"/>
        <v>5584.907767133046</v>
      </c>
      <c r="O115">
        <f t="shared" si="26"/>
        <v>3.4525880498108546E-5</v>
      </c>
      <c r="P115">
        <f t="shared" si="27"/>
        <v>1.2363626658048155E-6</v>
      </c>
    </row>
    <row r="116" spans="1:16">
      <c r="A116">
        <f t="shared" si="14"/>
        <v>2.7113400000000002E-4</v>
      </c>
      <c r="B116" s="2">
        <v>271.13400000000001</v>
      </c>
      <c r="C116" s="2">
        <f t="shared" si="15"/>
        <v>1105698466440.948</v>
      </c>
      <c r="D116" s="2">
        <f t="shared" si="16"/>
        <v>1.1056984664409479</v>
      </c>
      <c r="E116" s="2">
        <v>1.3851332279999999E-20</v>
      </c>
      <c r="F116" s="2">
        <f t="shared" si="17"/>
        <v>3.2550631628992768E-31</v>
      </c>
      <c r="G116">
        <f t="shared" si="18"/>
        <v>1.3851332279999999</v>
      </c>
      <c r="H116">
        <f t="shared" si="19"/>
        <v>5.648644898891321E-11</v>
      </c>
      <c r="I116">
        <f t="shared" si="20"/>
        <v>1.3274315826809443E-21</v>
      </c>
      <c r="J116">
        <f t="shared" si="21"/>
        <v>18.905963240657545</v>
      </c>
      <c r="K116">
        <f t="shared" si="22"/>
        <v>4.4429014667888842E-10</v>
      </c>
      <c r="L116" s="18">
        <f t="shared" si="23"/>
        <v>77099495311.484283</v>
      </c>
      <c r="M116" s="22">
        <f t="shared" si="24"/>
        <v>1.811838182734997</v>
      </c>
      <c r="N116" s="21">
        <f t="shared" si="25"/>
        <v>5667.8650017147393</v>
      </c>
      <c r="O116">
        <f t="shared" si="26"/>
        <v>3.6876179261650985E-5</v>
      </c>
      <c r="P116">
        <f t="shared" si="27"/>
        <v>1.3897756523220584E-6</v>
      </c>
    </row>
    <row r="117" spans="1:16">
      <c r="A117">
        <f t="shared" si="14"/>
        <v>2.9113999999999995E-4</v>
      </c>
      <c r="B117" s="2">
        <v>291.14</v>
      </c>
      <c r="C117" s="2">
        <f t="shared" si="15"/>
        <v>1029719200384.6947</v>
      </c>
      <c r="D117" s="2">
        <f t="shared" si="16"/>
        <v>1.0297192003846947</v>
      </c>
      <c r="E117" s="2">
        <v>1.335226268E-20</v>
      </c>
      <c r="F117" s="2">
        <f t="shared" si="17"/>
        <v>3.1377818041213563E-31</v>
      </c>
      <c r="G117">
        <f t="shared" si="18"/>
        <v>1.335226268</v>
      </c>
      <c r="H117">
        <f t="shared" si="19"/>
        <v>4.7224981968042859E-11</v>
      </c>
      <c r="I117">
        <f t="shared" si="20"/>
        <v>1.1097871025353739E-21</v>
      </c>
      <c r="J117">
        <f t="shared" si="21"/>
        <v>19.569513337447713</v>
      </c>
      <c r="K117">
        <f t="shared" si="22"/>
        <v>4.5988357432280256E-10</v>
      </c>
      <c r="L117" s="18">
        <f t="shared" si="23"/>
        <v>69214479720.252365</v>
      </c>
      <c r="M117" s="22">
        <f t="shared" si="24"/>
        <v>1.62654031195209</v>
      </c>
      <c r="N117" s="21">
        <f t="shared" si="25"/>
        <v>5866.7923096020968</v>
      </c>
      <c r="O117">
        <f t="shared" si="26"/>
        <v>4.0986896058084486E-5</v>
      </c>
      <c r="P117">
        <f t="shared" si="27"/>
        <v>1.6586765636507495E-6</v>
      </c>
    </row>
    <row r="118" spans="1:16">
      <c r="A118">
        <f t="shared" si="14"/>
        <v>3.1034699999999999E-4</v>
      </c>
      <c r="B118" s="2">
        <v>310.34699999999998</v>
      </c>
      <c r="C118" s="2">
        <f t="shared" si="15"/>
        <v>965991126062.11768</v>
      </c>
      <c r="D118" s="2">
        <f t="shared" si="16"/>
        <v>0.96599112606211768</v>
      </c>
      <c r="E118" s="2">
        <v>1.2908573118E-20</v>
      </c>
      <c r="F118" s="2">
        <f t="shared" si="17"/>
        <v>3.0335147545816917E-31</v>
      </c>
      <c r="G118">
        <f t="shared" si="18"/>
        <v>1.2908573118</v>
      </c>
      <c r="H118">
        <f t="shared" si="19"/>
        <v>4.0179434897427724E-11</v>
      </c>
      <c r="I118">
        <f t="shared" si="20"/>
        <v>9.4421674245422606E-22</v>
      </c>
      <c r="J118">
        <f t="shared" si="21"/>
        <v>20.167360934544636</v>
      </c>
      <c r="K118">
        <f t="shared" si="22"/>
        <v>4.7393299318735408E-10</v>
      </c>
      <c r="L118" s="18">
        <f t="shared" si="23"/>
        <v>62773256061.318253</v>
      </c>
      <c r="M118" s="22">
        <f t="shared" si="24"/>
        <v>1.4751715523818247</v>
      </c>
      <c r="N118" s="21">
        <f t="shared" si="25"/>
        <v>6046.0225042667053</v>
      </c>
      <c r="O118">
        <f t="shared" si="26"/>
        <v>4.5025624967401883E-5</v>
      </c>
      <c r="P118">
        <f t="shared" si="27"/>
        <v>1.9423259008143997E-6</v>
      </c>
    </row>
    <row r="119" spans="1:16">
      <c r="A119">
        <f t="shared" si="14"/>
        <v>3.1722E-4</v>
      </c>
      <c r="B119" s="2">
        <v>317.22000000000003</v>
      </c>
      <c r="C119" s="2">
        <f t="shared" si="15"/>
        <v>945061622848.49622</v>
      </c>
      <c r="D119" s="2">
        <f t="shared" si="16"/>
        <v>0.94506162284849615</v>
      </c>
      <c r="E119" s="2">
        <v>1.2759328580000001E-20</v>
      </c>
      <c r="F119" s="2">
        <f t="shared" si="17"/>
        <v>2.9984422873209672E-31</v>
      </c>
      <c r="G119">
        <f t="shared" si="18"/>
        <v>1.275932858</v>
      </c>
      <c r="H119">
        <f t="shared" si="19"/>
        <v>3.8012583614753159E-11</v>
      </c>
      <c r="I119">
        <f t="shared" si="20"/>
        <v>8.9329573610526142E-22</v>
      </c>
      <c r="J119">
        <f t="shared" si="21"/>
        <v>20.375658944523096</v>
      </c>
      <c r="K119">
        <f t="shared" si="22"/>
        <v>4.7882799653779075E-10</v>
      </c>
      <c r="L119" s="18">
        <f t="shared" si="23"/>
        <v>60703150207.170013</v>
      </c>
      <c r="M119" s="22">
        <f t="shared" si="24"/>
        <v>1.4265240636570791</v>
      </c>
      <c r="N119" s="21">
        <f t="shared" si="25"/>
        <v>6108.4686745916733</v>
      </c>
      <c r="O119">
        <f t="shared" si="26"/>
        <v>4.6498115353693558E-5</v>
      </c>
      <c r="P119">
        <f t="shared" si="27"/>
        <v>2.0502683691973151E-6</v>
      </c>
    </row>
    <row r="120" spans="1:16">
      <c r="A120">
        <f t="shared" si="14"/>
        <v>3.2306400000000002E-4</v>
      </c>
      <c r="B120" s="2">
        <v>323.06400000000002</v>
      </c>
      <c r="C120" s="2">
        <f t="shared" si="15"/>
        <v>927966124359.26001</v>
      </c>
      <c r="D120" s="2">
        <f t="shared" si="16"/>
        <v>0.92796612435925996</v>
      </c>
      <c r="E120" s="2">
        <v>1.2676277543999999E-20</v>
      </c>
      <c r="F120" s="2">
        <f t="shared" si="17"/>
        <v>2.9789252933986879E-31</v>
      </c>
      <c r="G120">
        <f t="shared" si="18"/>
        <v>1.2676277543999999</v>
      </c>
      <c r="H120">
        <f t="shared" si="19"/>
        <v>3.6411225465567185E-11</v>
      </c>
      <c r="I120">
        <f t="shared" si="20"/>
        <v>8.5566381870804292E-22</v>
      </c>
      <c r="J120">
        <f t="shared" si="21"/>
        <v>20.615961077812166</v>
      </c>
      <c r="K120">
        <f t="shared" si="22"/>
        <v>4.8447509680384086E-10</v>
      </c>
      <c r="L120" s="18">
        <f t="shared" si="23"/>
        <v>59217100950.024467</v>
      </c>
      <c r="M120" s="22">
        <f t="shared" si="24"/>
        <v>1.3916019052869941</v>
      </c>
      <c r="N120" s="21">
        <f t="shared" si="25"/>
        <v>6180.5094393900272</v>
      </c>
      <c r="O120">
        <f t="shared" si="26"/>
        <v>4.7913211195443153E-5</v>
      </c>
      <c r="P120">
        <f t="shared" si="27"/>
        <v>2.1515856789686057E-6</v>
      </c>
    </row>
    <row r="121" spans="1:16">
      <c r="A121">
        <f t="shared" si="14"/>
        <v>3.3446499999999994E-4</v>
      </c>
      <c r="B121" s="2">
        <v>334.46499999999997</v>
      </c>
      <c r="C121" s="2">
        <f t="shared" si="15"/>
        <v>896334289088.54443</v>
      </c>
      <c r="D121" s="2">
        <f t="shared" si="16"/>
        <v>0.8963342890885444</v>
      </c>
      <c r="E121" s="2">
        <v>1.2416344194999999E-20</v>
      </c>
      <c r="F121" s="2">
        <f t="shared" si="17"/>
        <v>2.9178409549368473E-31</v>
      </c>
      <c r="G121">
        <f t="shared" si="18"/>
        <v>1.2416344195</v>
      </c>
      <c r="H121">
        <f t="shared" si="19"/>
        <v>3.3274617813834042E-11</v>
      </c>
      <c r="I121">
        <f t="shared" si="20"/>
        <v>7.8195353714641577E-22</v>
      </c>
      <c r="J121">
        <f t="shared" si="21"/>
        <v>20.905843805655316</v>
      </c>
      <c r="K121">
        <f t="shared" si="22"/>
        <v>4.9128734106950938E-10</v>
      </c>
      <c r="L121" s="18">
        <f t="shared" si="23"/>
        <v>56025666797.238014</v>
      </c>
      <c r="M121" s="22">
        <f t="shared" si="24"/>
        <v>1.3166032009200965</v>
      </c>
      <c r="N121" s="21">
        <f t="shared" si="25"/>
        <v>6267.4140920030432</v>
      </c>
      <c r="O121">
        <f t="shared" si="26"/>
        <v>5.030156605699085E-5</v>
      </c>
      <c r="P121">
        <f t="shared" si="27"/>
        <v>2.3385517474839505E-6</v>
      </c>
    </row>
    <row r="122" spans="1:16">
      <c r="A122">
        <f t="shared" si="14"/>
        <v>3.52004E-4</v>
      </c>
      <c r="B122" s="2">
        <v>352.00400000000002</v>
      </c>
      <c r="C122" s="2">
        <f t="shared" si="15"/>
        <v>851673412802.1272</v>
      </c>
      <c r="D122" s="2">
        <f t="shared" si="16"/>
        <v>0.85167341280212716</v>
      </c>
      <c r="E122" s="2">
        <v>1.2095796117333335E-20</v>
      </c>
      <c r="F122" s="2">
        <f t="shared" si="17"/>
        <v>2.8425121549009465E-31</v>
      </c>
      <c r="G122">
        <f t="shared" si="18"/>
        <v>1.2095796117333335</v>
      </c>
      <c r="H122">
        <f t="shared" si="19"/>
        <v>2.9265769592981903E-11</v>
      </c>
      <c r="I122">
        <f t="shared" si="20"/>
        <v>6.8774560172498544E-22</v>
      </c>
      <c r="J122">
        <f t="shared" si="21"/>
        <v>21.434104155542123</v>
      </c>
      <c r="K122">
        <f t="shared" si="22"/>
        <v>5.0370145958588962E-10</v>
      </c>
      <c r="L122" s="18">
        <f t="shared" si="23"/>
        <v>51859798855.998276</v>
      </c>
      <c r="M122" s="22">
        <f t="shared" si="24"/>
        <v>1.2187053019821574</v>
      </c>
      <c r="N122" s="21">
        <f t="shared" si="25"/>
        <v>6425.7825554769452</v>
      </c>
      <c r="O122">
        <f t="shared" si="26"/>
        <v>5.4277028396387539E-5</v>
      </c>
      <c r="P122">
        <f t="shared" si="27"/>
        <v>2.6556966234062382E-6</v>
      </c>
    </row>
    <row r="123" spans="1:16">
      <c r="A123">
        <f t="shared" si="14"/>
        <v>3.5848799999999996E-4</v>
      </c>
      <c r="B123" s="2">
        <v>358.488</v>
      </c>
      <c r="C123" s="2">
        <f t="shared" si="15"/>
        <v>836269130347.45935</v>
      </c>
      <c r="D123" s="2">
        <f t="shared" si="16"/>
        <v>0.83626913034745931</v>
      </c>
      <c r="E123" s="2">
        <v>1.1369327424E-20</v>
      </c>
      <c r="F123" s="2">
        <f t="shared" si="17"/>
        <v>2.6717920079239429E-31</v>
      </c>
      <c r="G123">
        <f t="shared" si="18"/>
        <v>1.1369327424</v>
      </c>
      <c r="H123">
        <f t="shared" si="19"/>
        <v>2.6521996712592893E-11</v>
      </c>
      <c r="I123">
        <f t="shared" si="20"/>
        <v>6.2326693750860496E-22</v>
      </c>
      <c r="J123">
        <f t="shared" si="21"/>
        <v>20.517889039273541</v>
      </c>
      <c r="K123">
        <f t="shared" si="22"/>
        <v>4.8217040384359431E-10</v>
      </c>
      <c r="L123" s="18">
        <f t="shared" si="23"/>
        <v>47863463277.540543</v>
      </c>
      <c r="M123" s="22">
        <f t="shared" si="24"/>
        <v>1.1247914136639607</v>
      </c>
      <c r="N123" s="21">
        <f t="shared" si="25"/>
        <v>6151.1081828761817</v>
      </c>
      <c r="O123">
        <f t="shared" si="26"/>
        <v>5.2913979736691962E-5</v>
      </c>
      <c r="P123">
        <f t="shared" si="27"/>
        <v>2.6366947207307645E-6</v>
      </c>
    </row>
    <row r="124" spans="1:16">
      <c r="A124">
        <f t="shared" si="14"/>
        <v>3.7797599999999997E-4</v>
      </c>
      <c r="B124" s="2">
        <v>377.976</v>
      </c>
      <c r="C124" s="2">
        <f t="shared" si="15"/>
        <v>793152073147.50146</v>
      </c>
      <c r="D124" s="2">
        <f t="shared" si="16"/>
        <v>0.79315207314750147</v>
      </c>
      <c r="E124" s="2">
        <v>1.07771162952E-20</v>
      </c>
      <c r="F124" s="2">
        <f t="shared" si="17"/>
        <v>2.5326223893595782E-31</v>
      </c>
      <c r="G124">
        <f t="shared" si="18"/>
        <v>1.07771162952</v>
      </c>
      <c r="H124">
        <f t="shared" si="19"/>
        <v>2.2614907116032766E-11</v>
      </c>
      <c r="I124">
        <f t="shared" si="20"/>
        <v>5.3145032981467822E-22</v>
      </c>
      <c r="J124">
        <f t="shared" si="21"/>
        <v>20.506430680928094</v>
      </c>
      <c r="K124">
        <f t="shared" si="22"/>
        <v>4.8190113241609844E-10</v>
      </c>
      <c r="L124" s="18">
        <f t="shared" si="23"/>
        <v>43031086649.505913</v>
      </c>
      <c r="M124" s="22">
        <f t="shared" si="24"/>
        <v>1.0112305602153497</v>
      </c>
      <c r="N124" s="21">
        <f t="shared" si="25"/>
        <v>6147.6730535777397</v>
      </c>
      <c r="O124">
        <f t="shared" si="26"/>
        <v>5.57593145255162E-5</v>
      </c>
      <c r="P124">
        <f t="shared" si="27"/>
        <v>2.929519890726415E-6</v>
      </c>
    </row>
    <row r="125" spans="1:16">
      <c r="A125">
        <f t="shared" si="14"/>
        <v>3.8283699999999997E-4</v>
      </c>
      <c r="B125" s="2">
        <v>382.83699999999999</v>
      </c>
      <c r="C125" s="2">
        <f t="shared" si="15"/>
        <v>783081175539.45935</v>
      </c>
      <c r="D125" s="2">
        <f t="shared" si="16"/>
        <v>0.78308117553945933</v>
      </c>
      <c r="E125" s="2">
        <v>1.0494378888933336E-20</v>
      </c>
      <c r="F125" s="2">
        <f t="shared" si="17"/>
        <v>2.4661790973131393E-31</v>
      </c>
      <c r="G125">
        <f t="shared" si="18"/>
        <v>1.0494378888933336</v>
      </c>
      <c r="H125">
        <f t="shared" si="19"/>
        <v>2.1465925594711067E-11</v>
      </c>
      <c r="I125">
        <f t="shared" si="20"/>
        <v>5.0444926342407234E-22</v>
      </c>
      <c r="J125">
        <f t="shared" si="21"/>
        <v>20.2252512089925</v>
      </c>
      <c r="K125">
        <f t="shared" si="22"/>
        <v>4.7529341466910184E-10</v>
      </c>
      <c r="L125" s="18">
        <f t="shared" si="23"/>
        <v>41370122251.294189</v>
      </c>
      <c r="M125" s="22">
        <f t="shared" si="24"/>
        <v>0.97219789593284833</v>
      </c>
      <c r="N125" s="21">
        <f t="shared" si="25"/>
        <v>6063.3775713588184</v>
      </c>
      <c r="O125">
        <f t="shared" si="26"/>
        <v>5.5702021423375006E-5</v>
      </c>
      <c r="P125">
        <f t="shared" si="27"/>
        <v>2.9641464738168253E-6</v>
      </c>
    </row>
    <row r="126" spans="1:16">
      <c r="A126">
        <f t="shared" si="14"/>
        <v>3.8988899999999998E-4</v>
      </c>
      <c r="B126" s="2">
        <v>389.88900000000001</v>
      </c>
      <c r="C126" s="2">
        <f t="shared" si="15"/>
        <v>768917430345.55981</v>
      </c>
      <c r="D126" s="2">
        <f t="shared" si="16"/>
        <v>0.76891743034555982</v>
      </c>
      <c r="E126" s="2">
        <v>1.0023604315799999E-20</v>
      </c>
      <c r="F126" s="2">
        <f t="shared" si="17"/>
        <v>2.35554707000638E-31</v>
      </c>
      <c r="G126">
        <f t="shared" si="18"/>
        <v>1.0023604315799999</v>
      </c>
      <c r="H126">
        <f t="shared" si="19"/>
        <v>1.9767995694429953E-11</v>
      </c>
      <c r="I126">
        <f t="shared" si="20"/>
        <v>4.6454790982236439E-22</v>
      </c>
      <c r="J126">
        <f t="shared" si="21"/>
        <v>19.673796607766139</v>
      </c>
      <c r="K126">
        <f t="shared" si="22"/>
        <v>4.6233423123333169E-10</v>
      </c>
      <c r="L126" s="18">
        <f t="shared" si="23"/>
        <v>38799568935.734863</v>
      </c>
      <c r="M126" s="22">
        <f t="shared" si="24"/>
        <v>0.91178989158638291</v>
      </c>
      <c r="N126" s="21">
        <f t="shared" si="25"/>
        <v>5898.0556464963047</v>
      </c>
      <c r="O126">
        <f t="shared" si="26"/>
        <v>5.5181345645946515E-5</v>
      </c>
      <c r="P126">
        <f t="shared" si="27"/>
        <v>2.9905293544847887E-6</v>
      </c>
    </row>
    <row r="127" spans="1:16">
      <c r="A127">
        <f t="shared" si="14"/>
        <v>3.9707100000000003E-4</v>
      </c>
      <c r="B127" s="2">
        <v>397.07100000000003</v>
      </c>
      <c r="C127" s="2">
        <f t="shared" si="15"/>
        <v>755009678369.86328</v>
      </c>
      <c r="D127" s="2">
        <f t="shared" si="16"/>
        <v>0.75500967836986321</v>
      </c>
      <c r="E127" s="2">
        <v>9.9148893414000011E-21</v>
      </c>
      <c r="F127" s="2">
        <f t="shared" si="17"/>
        <v>2.3299990504172513E-31</v>
      </c>
      <c r="G127">
        <f t="shared" si="18"/>
        <v>0.99148893414000017</v>
      </c>
      <c r="H127">
        <f t="shared" si="19"/>
        <v>1.8852642002874047E-11</v>
      </c>
      <c r="I127">
        <f t="shared" si="20"/>
        <v>4.4303709756129649E-22</v>
      </c>
      <c r="J127">
        <f t="shared" si="21"/>
        <v>19.818889731394282</v>
      </c>
      <c r="K127">
        <f t="shared" si="22"/>
        <v>4.6574391971935486E-10</v>
      </c>
      <c r="L127" s="18">
        <f t="shared" si="23"/>
        <v>37684579235.823784</v>
      </c>
      <c r="M127" s="22">
        <f t="shared" si="24"/>
        <v>0.88558763301784704</v>
      </c>
      <c r="N127" s="21">
        <f t="shared" si="25"/>
        <v>5941.5534692167557</v>
      </c>
      <c r="O127">
        <f t="shared" si="26"/>
        <v>5.6612276363951146E-5</v>
      </c>
      <c r="P127">
        <f t="shared" si="27"/>
        <v>3.1245939531473521E-6</v>
      </c>
    </row>
    <row r="128" spans="1:16">
      <c r="A128">
        <f t="shared" si="14"/>
        <v>4.0958599999999998E-4</v>
      </c>
      <c r="B128" s="2">
        <v>409.58600000000001</v>
      </c>
      <c r="C128" s="2">
        <f t="shared" si="15"/>
        <v>731940173736.40698</v>
      </c>
      <c r="D128" s="2">
        <f t="shared" si="16"/>
        <v>0.73194017373640696</v>
      </c>
      <c r="E128" s="2">
        <v>9.5083615027333337E-21</v>
      </c>
      <c r="F128" s="2">
        <f t="shared" si="17"/>
        <v>2.2344650060677694E-31</v>
      </c>
      <c r="G128">
        <f t="shared" si="18"/>
        <v>0.95083615027333335</v>
      </c>
      <c r="H128">
        <f t="shared" si="19"/>
        <v>1.6991673959215402E-11</v>
      </c>
      <c r="I128">
        <f t="shared" si="20"/>
        <v>3.993043474994665E-22</v>
      </c>
      <c r="J128">
        <f t="shared" si="21"/>
        <v>19.605326032691082</v>
      </c>
      <c r="K128">
        <f t="shared" si="22"/>
        <v>4.6072517268095581E-10</v>
      </c>
      <c r="L128" s="18">
        <f t="shared" si="23"/>
        <v>35035195886.887772</v>
      </c>
      <c r="M128" s="22">
        <f t="shared" si="24"/>
        <v>0.82332712284315124</v>
      </c>
      <c r="N128" s="21">
        <f t="shared" si="25"/>
        <v>5877.5286851785877</v>
      </c>
      <c r="O128">
        <f t="shared" si="26"/>
        <v>5.7767330635570048E-5</v>
      </c>
      <c r="P128">
        <f t="shared" si="27"/>
        <v>3.2888358941123828E-6</v>
      </c>
    </row>
    <row r="129" spans="1:16">
      <c r="A129">
        <f t="shared" si="14"/>
        <v>4.2481599999999995E-4</v>
      </c>
      <c r="B129" s="2">
        <v>424.81599999999997</v>
      </c>
      <c r="C129" s="2">
        <f t="shared" si="15"/>
        <v>705699521675.26648</v>
      </c>
      <c r="D129" s="2">
        <f t="shared" si="16"/>
        <v>0.70569952167526651</v>
      </c>
      <c r="E129" s="2">
        <v>8.9051062762666662E-21</v>
      </c>
      <c r="F129" s="2">
        <f t="shared" si="17"/>
        <v>2.0927000244902635E-31</v>
      </c>
      <c r="G129">
        <f t="shared" si="18"/>
        <v>0.89051062762666666</v>
      </c>
      <c r="H129">
        <f t="shared" si="19"/>
        <v>1.4793061559896052E-11</v>
      </c>
      <c r="I129">
        <f t="shared" si="20"/>
        <v>3.4763695489167021E-22</v>
      </c>
      <c r="J129">
        <f t="shared" si="21"/>
        <v>19.044222746456875</v>
      </c>
      <c r="K129">
        <f t="shared" si="22"/>
        <v>4.475392451421306E-10</v>
      </c>
      <c r="L129" s="18">
        <f t="shared" si="23"/>
        <v>31636046859.939007</v>
      </c>
      <c r="M129" s="22">
        <f t="shared" si="24"/>
        <v>0.74344711881782111</v>
      </c>
      <c r="N129" s="21">
        <f t="shared" si="25"/>
        <v>5709.3141574175897</v>
      </c>
      <c r="O129">
        <f t="shared" si="26"/>
        <v>5.8200570931333641E-5</v>
      </c>
      <c r="P129">
        <f t="shared" si="27"/>
        <v>3.4367101899663948E-6</v>
      </c>
    </row>
    <row r="130" spans="1:16">
      <c r="A130">
        <f t="shared" si="14"/>
        <v>4.3740599999999999E-4</v>
      </c>
      <c r="B130" s="2">
        <v>437.40600000000001</v>
      </c>
      <c r="C130" s="2">
        <f t="shared" si="15"/>
        <v>685387141465.82349</v>
      </c>
      <c r="D130" s="2">
        <f t="shared" si="16"/>
        <v>0.68538714146582347</v>
      </c>
      <c r="E130" s="2">
        <v>8.6118534508000003E-21</v>
      </c>
      <c r="F130" s="2">
        <f t="shared" si="17"/>
        <v>2.0237856088732935E-31</v>
      </c>
      <c r="G130">
        <f t="shared" si="18"/>
        <v>0.86118534508</v>
      </c>
      <c r="H130">
        <f t="shared" si="19"/>
        <v>1.3494221888511819E-11</v>
      </c>
      <c r="I130">
        <f t="shared" si="20"/>
        <v>3.1711422189118073E-22</v>
      </c>
      <c r="J130">
        <f t="shared" si="21"/>
        <v>18.962895295376626</v>
      </c>
      <c r="K130">
        <f t="shared" si="22"/>
        <v>4.456280499964763E-10</v>
      </c>
      <c r="L130" s="18">
        <f t="shared" si="23"/>
        <v>29713640417.401451</v>
      </c>
      <c r="M130" s="22">
        <f t="shared" si="24"/>
        <v>0.69827056634813878</v>
      </c>
      <c r="N130" s="21">
        <f t="shared" si="25"/>
        <v>5684.9328017686421</v>
      </c>
      <c r="O130">
        <f t="shared" si="26"/>
        <v>5.9669515331536058E-5</v>
      </c>
      <c r="P130">
        <f t="shared" si="27"/>
        <v>3.6278727592117146E-6</v>
      </c>
    </row>
    <row r="131" spans="1:16">
      <c r="A131">
        <f t="shared" si="14"/>
        <v>4.4872799999999996E-4</v>
      </c>
      <c r="B131" s="2">
        <v>448.72800000000001</v>
      </c>
      <c r="C131" s="2">
        <f t="shared" si="15"/>
        <v>668093918810.50439</v>
      </c>
      <c r="D131" s="2">
        <f t="shared" si="16"/>
        <v>0.66809391881050439</v>
      </c>
      <c r="E131" s="2">
        <v>8.0476973584000001E-21</v>
      </c>
      <c r="F131" s="2">
        <f t="shared" si="17"/>
        <v>1.891208924019088E-31</v>
      </c>
      <c r="G131">
        <f t="shared" si="18"/>
        <v>0.80476973584</v>
      </c>
      <c r="H131">
        <f t="shared" si="19"/>
        <v>1.1981908117109698E-11</v>
      </c>
      <c r="I131">
        <f t="shared" si="20"/>
        <v>2.8157484742144682E-22</v>
      </c>
      <c r="J131">
        <f t="shared" si="21"/>
        <v>18.179338903839476</v>
      </c>
      <c r="K131">
        <f t="shared" si="22"/>
        <v>4.2721447435921021E-10</v>
      </c>
      <c r="L131" s="18">
        <f t="shared" si="23"/>
        <v>27066520853.72514</v>
      </c>
      <c r="M131" s="22">
        <f t="shared" si="24"/>
        <v>0.63606325512830597</v>
      </c>
      <c r="N131" s="21">
        <f t="shared" si="25"/>
        <v>5450.0285130036727</v>
      </c>
      <c r="O131">
        <f t="shared" si="26"/>
        <v>5.8684631633703304E-5</v>
      </c>
      <c r="P131">
        <f t="shared" si="27"/>
        <v>3.6603477963382496E-6</v>
      </c>
    </row>
    <row r="132" spans="1:16">
      <c r="A132">
        <f t="shared" si="14"/>
        <v>4.6626299999999996E-4</v>
      </c>
      <c r="B132" s="2">
        <v>466.26299999999998</v>
      </c>
      <c r="C132" s="2">
        <f t="shared" si="15"/>
        <v>642968556372.69104</v>
      </c>
      <c r="D132" s="2">
        <f t="shared" si="16"/>
        <v>0.64296855637269101</v>
      </c>
      <c r="E132" s="2">
        <v>7.8769694115000006E-21</v>
      </c>
      <c r="F132" s="2">
        <f t="shared" si="17"/>
        <v>1.8510878555472823E-31</v>
      </c>
      <c r="G132">
        <f t="shared" si="18"/>
        <v>0.78769694115000011</v>
      </c>
      <c r="H132">
        <f t="shared" si="19"/>
        <v>1.0862203629934181E-11</v>
      </c>
      <c r="I132">
        <f t="shared" si="20"/>
        <v>2.5526179134957236E-22</v>
      </c>
      <c r="J132">
        <f t="shared" si="21"/>
        <v>18.488998741983483</v>
      </c>
      <c r="K132">
        <f t="shared" si="22"/>
        <v>4.3449148072795724E-10</v>
      </c>
      <c r="L132" s="18">
        <f t="shared" si="23"/>
        <v>25496007253.223232</v>
      </c>
      <c r="M132" s="22">
        <f t="shared" si="24"/>
        <v>0.59915618464233189</v>
      </c>
      <c r="N132" s="21">
        <f t="shared" si="25"/>
        <v>5542.8621939281502</v>
      </c>
      <c r="O132">
        <f t="shared" si="26"/>
        <v>6.2016531589439497E-5</v>
      </c>
      <c r="P132">
        <f t="shared" si="27"/>
        <v>4.0193259555196691E-6</v>
      </c>
    </row>
    <row r="133" spans="1:16">
      <c r="A133">
        <f t="shared" si="14"/>
        <v>4.8008099999999999E-4</v>
      </c>
      <c r="B133" s="2">
        <v>480.08100000000002</v>
      </c>
      <c r="C133" s="2">
        <f t="shared" si="15"/>
        <v>624462222000.03748</v>
      </c>
      <c r="D133" s="2">
        <f t="shared" si="16"/>
        <v>0.62446222200003743</v>
      </c>
      <c r="E133" s="2">
        <v>7.2280675306000014E-21</v>
      </c>
      <c r="F133" s="2">
        <f t="shared" si="17"/>
        <v>1.6985959099238653E-31</v>
      </c>
      <c r="G133">
        <f t="shared" si="18"/>
        <v>0.7228067530600002</v>
      </c>
      <c r="H133">
        <f t="shared" si="19"/>
        <v>9.4018615836177653E-12</v>
      </c>
      <c r="I133">
        <f t="shared" si="20"/>
        <v>2.2094375244828107E-22</v>
      </c>
      <c r="J133">
        <f t="shared" si="21"/>
        <v>17.468676412464852</v>
      </c>
      <c r="K133">
        <f t="shared" si="22"/>
        <v>4.1051390541633762E-10</v>
      </c>
      <c r="L133" s="18">
        <f t="shared" si="23"/>
        <v>22722266634.021015</v>
      </c>
      <c r="M133" s="22">
        <f t="shared" si="24"/>
        <v>0.53397327854716048</v>
      </c>
      <c r="N133" s="21">
        <f t="shared" si="25"/>
        <v>5236.9772650126943</v>
      </c>
      <c r="O133">
        <f t="shared" si="26"/>
        <v>6.0330600157601445E-5</v>
      </c>
      <c r="P133">
        <f t="shared" si="27"/>
        <v>4.0259369047423421E-6</v>
      </c>
    </row>
    <row r="134" spans="1:16">
      <c r="A134">
        <f t="shared" si="14"/>
        <v>4.8536799999999996E-4</v>
      </c>
      <c r="B134" s="2">
        <v>485.36799999999999</v>
      </c>
      <c r="C134" s="2">
        <f t="shared" si="15"/>
        <v>617660101201.5625</v>
      </c>
      <c r="D134" s="2">
        <f t="shared" si="16"/>
        <v>0.61766010120156245</v>
      </c>
      <c r="E134" s="2">
        <v>7.1391646594666661E-21</v>
      </c>
      <c r="F134" s="2">
        <f t="shared" si="17"/>
        <v>1.6777037347126805E-31</v>
      </c>
      <c r="G134">
        <f t="shared" si="18"/>
        <v>0.71391646594666658</v>
      </c>
      <c r="H134">
        <f t="shared" si="19"/>
        <v>9.0850183078835024E-12</v>
      </c>
      <c r="I134">
        <f t="shared" si="20"/>
        <v>2.1349793529216461E-22</v>
      </c>
      <c r="J134">
        <f t="shared" si="21"/>
        <v>17.44382894004292</v>
      </c>
      <c r="K134">
        <f t="shared" si="22"/>
        <v>4.0992998980059158E-10</v>
      </c>
      <c r="L134" s="18">
        <f t="shared" si="23"/>
        <v>22198326112.248138</v>
      </c>
      <c r="M134" s="22">
        <f t="shared" si="24"/>
        <v>0.52166067599386212</v>
      </c>
      <c r="N134" s="21">
        <f t="shared" si="25"/>
        <v>5229.5281804287115</v>
      </c>
      <c r="O134">
        <f t="shared" si="26"/>
        <v>6.0908245073414172E-5</v>
      </c>
      <c r="P134">
        <f t="shared" si="27"/>
        <v>4.1092449201762115E-6</v>
      </c>
    </row>
    <row r="135" spans="1:16">
      <c r="A135">
        <f t="shared" si="14"/>
        <v>4.9250800000000001E-4</v>
      </c>
      <c r="B135" s="2">
        <v>492.50799999999998</v>
      </c>
      <c r="C135" s="2">
        <f t="shared" si="15"/>
        <v>608705742850.87756</v>
      </c>
      <c r="D135" s="2">
        <f t="shared" si="16"/>
        <v>0.60870574285087753</v>
      </c>
      <c r="E135" s="2">
        <v>7.1706373921333329E-21</v>
      </c>
      <c r="F135" s="2">
        <f t="shared" si="17"/>
        <v>1.6850998270645307E-31</v>
      </c>
      <c r="G135">
        <f t="shared" si="18"/>
        <v>0.71706373921333333</v>
      </c>
      <c r="H135">
        <f t="shared" si="19"/>
        <v>8.8624106826544971E-12</v>
      </c>
      <c r="I135">
        <f t="shared" si="20"/>
        <v>2.0826665597537514E-22</v>
      </c>
      <c r="J135">
        <f t="shared" si="21"/>
        <v>17.778467863022968</v>
      </c>
      <c r="K135">
        <f t="shared" si="22"/>
        <v>4.1779400467688941E-10</v>
      </c>
      <c r="L135" s="18">
        <f t="shared" si="23"/>
        <v>21972953713.060196</v>
      </c>
      <c r="M135" s="22">
        <f t="shared" si="24"/>
        <v>0.51636442448749875</v>
      </c>
      <c r="N135" s="21">
        <f t="shared" si="25"/>
        <v>5329.8504023449859</v>
      </c>
      <c r="O135">
        <f t="shared" si="26"/>
        <v>6.298987513942168E-5</v>
      </c>
      <c r="P135">
        <f t="shared" si="27"/>
        <v>4.3121994220981142E-6</v>
      </c>
    </row>
    <row r="136" spans="1:16">
      <c r="A136">
        <f t="shared" si="14"/>
        <v>5.1175400000000001E-4</v>
      </c>
      <c r="B136" s="2">
        <v>511.75400000000002</v>
      </c>
      <c r="C136" s="2">
        <f t="shared" si="15"/>
        <v>585813590123.37952</v>
      </c>
      <c r="D136" s="2">
        <f t="shared" si="16"/>
        <v>0.58581359012337952</v>
      </c>
      <c r="E136" s="2">
        <v>6.4400317452666665E-21</v>
      </c>
      <c r="F136" s="2">
        <f t="shared" si="17"/>
        <v>1.5134074959841674E-31</v>
      </c>
      <c r="G136">
        <f t="shared" si="18"/>
        <v>0.64400317452666667</v>
      </c>
      <c r="H136">
        <f t="shared" si="19"/>
        <v>7.3720149079503037E-12</v>
      </c>
      <c r="I136">
        <f t="shared" si="20"/>
        <v>1.732423544402426E-22</v>
      </c>
      <c r="J136">
        <f t="shared" si="21"/>
        <v>16.590998891947489</v>
      </c>
      <c r="K136">
        <f t="shared" si="22"/>
        <v>3.8988848319564685E-10</v>
      </c>
      <c r="L136" s="18">
        <f t="shared" si="23"/>
        <v>18992001283.086739</v>
      </c>
      <c r="M136" s="22">
        <f t="shared" si="24"/>
        <v>0.44631204072386493</v>
      </c>
      <c r="N136" s="21">
        <f t="shared" si="25"/>
        <v>4973.8561725822246</v>
      </c>
      <c r="O136">
        <f t="shared" si="26"/>
        <v>6.1079701697052394E-5</v>
      </c>
      <c r="P136">
        <f t="shared" si="27"/>
        <v>4.3448316510559957E-6</v>
      </c>
    </row>
    <row r="137" spans="1:16">
      <c r="A137">
        <f t="shared" si="14"/>
        <v>5.3858900000000002E-4</v>
      </c>
      <c r="B137" s="2">
        <v>538.58900000000006</v>
      </c>
      <c r="C137" s="2">
        <f t="shared" si="15"/>
        <v>556625642187.27075</v>
      </c>
      <c r="D137" s="2">
        <f t="shared" si="16"/>
        <v>0.55662564218727073</v>
      </c>
      <c r="E137" s="2">
        <v>5.5505905161999995E-21</v>
      </c>
      <c r="F137" s="2">
        <f t="shared" si="17"/>
        <v>1.3043888022026933E-31</v>
      </c>
      <c r="G137">
        <f t="shared" si="18"/>
        <v>0.55505905161999991</v>
      </c>
      <c r="H137">
        <f t="shared" si="19"/>
        <v>5.7364725432535734E-12</v>
      </c>
      <c r="I137">
        <f t="shared" si="20"/>
        <v>1.3480710795949396E-22</v>
      </c>
      <c r="J137">
        <f t="shared" si="21"/>
        <v>15.049426449741572</v>
      </c>
      <c r="K137">
        <f t="shared" si="22"/>
        <v>3.5366152994573772E-10</v>
      </c>
      <c r="L137" s="18">
        <f t="shared" si="23"/>
        <v>15553412086.280075</v>
      </c>
      <c r="M137" s="22">
        <f t="shared" si="24"/>
        <v>0.36550519268492104</v>
      </c>
      <c r="N137" s="21">
        <f t="shared" si="25"/>
        <v>4511.7043963639744</v>
      </c>
      <c r="O137">
        <f t="shared" si="26"/>
        <v>5.8309666191430417E-5</v>
      </c>
      <c r="P137">
        <f t="shared" si="27"/>
        <v>4.3652873278083081E-6</v>
      </c>
    </row>
    <row r="138" spans="1:16">
      <c r="A138">
        <f t="shared" si="14"/>
        <v>5.485109999999999E-4</v>
      </c>
      <c r="B138" s="2">
        <v>548.51099999999997</v>
      </c>
      <c r="C138" s="2">
        <f t="shared" si="15"/>
        <v>546556856653.74078</v>
      </c>
      <c r="D138" s="2">
        <f t="shared" si="16"/>
        <v>0.54655685665374076</v>
      </c>
      <c r="E138" s="2">
        <v>5.2554301606000003E-21</v>
      </c>
      <c r="F138" s="2">
        <f t="shared" si="17"/>
        <v>1.2350261169937722E-31</v>
      </c>
      <c r="G138">
        <f t="shared" si="18"/>
        <v>0.52554301605999998</v>
      </c>
      <c r="H138">
        <f t="shared" si="19"/>
        <v>5.2367069920945986E-12</v>
      </c>
      <c r="I138">
        <f t="shared" si="20"/>
        <v>1.2306261722907858E-22</v>
      </c>
      <c r="J138">
        <f t="shared" si="21"/>
        <v>14.5116531929123</v>
      </c>
      <c r="K138">
        <f t="shared" si="22"/>
        <v>3.4102385811091455E-10</v>
      </c>
      <c r="L138" s="18">
        <f t="shared" si="23"/>
        <v>14459953499.505695</v>
      </c>
      <c r="M138" s="22">
        <f t="shared" si="24"/>
        <v>0.33980891528708224</v>
      </c>
      <c r="N138" s="21">
        <f t="shared" si="25"/>
        <v>4350.4840352301935</v>
      </c>
      <c r="O138">
        <f t="shared" si="26"/>
        <v>5.7261847953310303E-5</v>
      </c>
      <c r="P138">
        <f t="shared" si="27"/>
        <v>4.3658167340978278E-6</v>
      </c>
    </row>
    <row r="139" spans="1:16">
      <c r="A139">
        <f t="shared" si="14"/>
        <v>5.5556500000000005E-4</v>
      </c>
      <c r="B139" s="2">
        <v>555.56500000000005</v>
      </c>
      <c r="C139" s="2">
        <f t="shared" si="15"/>
        <v>539617232907.04053</v>
      </c>
      <c r="D139" s="2">
        <f t="shared" si="16"/>
        <v>0.53961723290704056</v>
      </c>
      <c r="E139" s="2">
        <v>5.268959941166667E-21</v>
      </c>
      <c r="F139" s="2">
        <f t="shared" si="17"/>
        <v>1.2382056155022484E-31</v>
      </c>
      <c r="G139">
        <f t="shared" si="18"/>
        <v>0.52689599411666665</v>
      </c>
      <c r="H139">
        <f t="shared" si="19"/>
        <v>5.1177118496492753E-12</v>
      </c>
      <c r="I139">
        <f t="shared" si="20"/>
        <v>1.2026623131537841E-22</v>
      </c>
      <c r="J139">
        <f t="shared" si="21"/>
        <v>14.736116789682098</v>
      </c>
      <c r="K139">
        <f t="shared" si="22"/>
        <v>3.4629875275994576E-10</v>
      </c>
      <c r="L139" s="18">
        <f t="shared" si="23"/>
        <v>14313109295.659796</v>
      </c>
      <c r="M139" s="22">
        <f t="shared" si="24"/>
        <v>0.33635807641496718</v>
      </c>
      <c r="N139" s="21">
        <f t="shared" si="25"/>
        <v>4417.7765263926976</v>
      </c>
      <c r="O139">
        <f t="shared" si="26"/>
        <v>5.8895357158167981E-5</v>
      </c>
      <c r="P139">
        <f t="shared" si="27"/>
        <v>4.5481076748412852E-6</v>
      </c>
    </row>
    <row r="140" spans="1:16">
      <c r="A140">
        <f t="shared" si="14"/>
        <v>5.7307500000000004E-4</v>
      </c>
      <c r="B140" s="2">
        <v>573.07500000000005</v>
      </c>
      <c r="C140" s="2">
        <f t="shared" si="15"/>
        <v>523129517078.91632</v>
      </c>
      <c r="D140" s="2">
        <f t="shared" si="16"/>
        <v>0.52312951707891631</v>
      </c>
      <c r="E140" s="2">
        <v>4.8649673924999999E-21</v>
      </c>
      <c r="F140" s="2">
        <f t="shared" si="17"/>
        <v>1.1432673643168784E-31</v>
      </c>
      <c r="G140">
        <f t="shared" si="18"/>
        <v>0.48649673924999998</v>
      </c>
      <c r="H140">
        <f t="shared" si="19"/>
        <v>4.4409685340369051E-12</v>
      </c>
      <c r="I140">
        <f t="shared" si="20"/>
        <v>1.0436276302179891E-22</v>
      </c>
      <c r="J140">
        <f t="shared" si="21"/>
        <v>14.03507303960582</v>
      </c>
      <c r="K140">
        <f t="shared" si="22"/>
        <v>3.298242242429382E-10</v>
      </c>
      <c r="L140" s="18">
        <f t="shared" si="23"/>
        <v>12811867524.104713</v>
      </c>
      <c r="M140" s="22">
        <f t="shared" si="24"/>
        <v>0.30107889394780168</v>
      </c>
      <c r="N140" s="21">
        <f t="shared" si="25"/>
        <v>4207.6089044022283</v>
      </c>
      <c r="O140">
        <f t="shared" si="26"/>
        <v>5.7861443936735999E-5</v>
      </c>
      <c r="P140">
        <f t="shared" si="27"/>
        <v>4.6090936307822523E-6</v>
      </c>
    </row>
    <row r="141" spans="1:16">
      <c r="A141">
        <f t="shared" si="14"/>
        <v>5.8683599999999998E-4</v>
      </c>
      <c r="B141" s="2">
        <v>586.83600000000001</v>
      </c>
      <c r="C141" s="2">
        <f t="shared" si="15"/>
        <v>510862401079.68835</v>
      </c>
      <c r="D141" s="2">
        <f t="shared" si="16"/>
        <v>0.51086240107968839</v>
      </c>
      <c r="E141" s="2">
        <v>4.4527746396000007E-21</v>
      </c>
      <c r="F141" s="2">
        <f t="shared" si="17"/>
        <v>1.0464020650910316E-31</v>
      </c>
      <c r="G141">
        <f t="shared" si="18"/>
        <v>0.44527746396000006</v>
      </c>
      <c r="H141">
        <f t="shared" si="19"/>
        <v>3.8763046981657575E-12</v>
      </c>
      <c r="I141">
        <f t="shared" si="20"/>
        <v>9.1093162564523778E-23</v>
      </c>
      <c r="J141">
        <f t="shared" si="21"/>
        <v>13.154390918298372</v>
      </c>
      <c r="K141">
        <f t="shared" si="22"/>
        <v>3.0912819390200797E-10</v>
      </c>
      <c r="L141" s="18">
        <f t="shared" si="23"/>
        <v>11451382889.363899</v>
      </c>
      <c r="M141" s="22">
        <f t="shared" si="24"/>
        <v>0.26910750427411967</v>
      </c>
      <c r="N141" s="21">
        <f t="shared" si="25"/>
        <v>3943.5870553456366</v>
      </c>
      <c r="O141">
        <f t="shared" si="26"/>
        <v>5.5532933987325112E-5</v>
      </c>
      <c r="P141">
        <f t="shared" si="27"/>
        <v>4.5298327540646424E-6</v>
      </c>
    </row>
    <row r="142" spans="1:16">
      <c r="A142">
        <f t="shared" si="14"/>
        <v>5.9005899999999998E-4</v>
      </c>
      <c r="B142" s="2">
        <v>590.05899999999997</v>
      </c>
      <c r="C142" s="2">
        <f t="shared" si="15"/>
        <v>508071986021.73682</v>
      </c>
      <c r="D142" s="2">
        <f t="shared" si="16"/>
        <v>0.50807198602173675</v>
      </c>
      <c r="E142" s="2">
        <v>4.483759997833333E-21</v>
      </c>
      <c r="F142" s="2">
        <f t="shared" si="17"/>
        <v>1.0536836244483353E-31</v>
      </c>
      <c r="G142">
        <f t="shared" si="18"/>
        <v>0.44837599978333331</v>
      </c>
      <c r="H142">
        <f t="shared" si="19"/>
        <v>3.8607543431148412E-12</v>
      </c>
      <c r="I142">
        <f t="shared" si="20"/>
        <v>9.0727729212171601E-23</v>
      </c>
      <c r="J142">
        <f t="shared" si="21"/>
        <v>13.318676710370754</v>
      </c>
      <c r="K142">
        <f t="shared" si="22"/>
        <v>3.1298891010715368E-10</v>
      </c>
      <c r="L142" s="18">
        <f t="shared" si="23"/>
        <v>11468084593.946575</v>
      </c>
      <c r="M142" s="22">
        <f t="shared" si="24"/>
        <v>0.26949999434110905</v>
      </c>
      <c r="N142" s="21">
        <f t="shared" si="25"/>
        <v>3992.8386951226357</v>
      </c>
      <c r="O142">
        <f t="shared" si="26"/>
        <v>5.6535292481791824E-5</v>
      </c>
      <c r="P142">
        <f t="shared" si="27"/>
        <v>4.6369229823653907E-6</v>
      </c>
    </row>
    <row r="143" spans="1:16">
      <c r="A143">
        <f t="shared" si="14"/>
        <v>6.15359E-4</v>
      </c>
      <c r="B143" s="2">
        <v>615.35900000000004</v>
      </c>
      <c r="C143" s="2">
        <f t="shared" si="15"/>
        <v>487183006992.66602</v>
      </c>
      <c r="D143" s="2">
        <f t="shared" si="16"/>
        <v>0.48718300699266598</v>
      </c>
      <c r="E143" s="2">
        <v>4.1612421657000002E-21</v>
      </c>
      <c r="F143" s="2">
        <f t="shared" si="17"/>
        <v>9.7789193210180358E-32</v>
      </c>
      <c r="G143">
        <f t="shared" si="18"/>
        <v>0.41612421657000004</v>
      </c>
      <c r="H143">
        <f t="shared" si="19"/>
        <v>3.2944776481865056E-12</v>
      </c>
      <c r="I143">
        <f t="shared" si="20"/>
        <v>7.7420226566154814E-23</v>
      </c>
      <c r="J143">
        <f t="shared" si="21"/>
        <v>12.890650319004433</v>
      </c>
      <c r="K143">
        <f t="shared" si="22"/>
        <v>3.0293028967179713E-10</v>
      </c>
      <c r="L143" s="18">
        <f t="shared" si="23"/>
        <v>10205596707.781227</v>
      </c>
      <c r="M143" s="22">
        <f t="shared" si="24"/>
        <v>0.23983152831349744</v>
      </c>
      <c r="N143" s="21">
        <f t="shared" si="25"/>
        <v>3864.5196154463188</v>
      </c>
      <c r="O143">
        <f t="shared" si="26"/>
        <v>5.7064565067722547E-5</v>
      </c>
      <c r="P143">
        <f t="shared" si="27"/>
        <v>4.8810119236757067E-6</v>
      </c>
    </row>
    <row r="144" spans="1:16">
      <c r="A144">
        <f t="shared" si="14"/>
        <v>6.2327200000000002E-4</v>
      </c>
      <c r="B144" s="2">
        <v>623.27200000000005</v>
      </c>
      <c r="C144" s="2">
        <f t="shared" si="15"/>
        <v>480997779460.65277</v>
      </c>
      <c r="D144" s="2">
        <f t="shared" si="16"/>
        <v>0.48099777946065275</v>
      </c>
      <c r="E144" s="2">
        <v>3.8002763655999998E-21</v>
      </c>
      <c r="F144" s="2">
        <f t="shared" si="17"/>
        <v>8.9306496706909585E-32</v>
      </c>
      <c r="G144">
        <f t="shared" si="18"/>
        <v>0.38002763655999999</v>
      </c>
      <c r="H144">
        <f t="shared" si="19"/>
        <v>2.9327877607054381E-12</v>
      </c>
      <c r="I144">
        <f t="shared" si="20"/>
        <v>6.8920514009025927E-23</v>
      </c>
      <c r="J144">
        <f t="shared" si="21"/>
        <v>11.923838302510287</v>
      </c>
      <c r="K144">
        <f t="shared" si="22"/>
        <v>2.8021020674603785E-10</v>
      </c>
      <c r="L144" s="18">
        <f t="shared" si="23"/>
        <v>9201985242.6473961</v>
      </c>
      <c r="M144" s="22">
        <f t="shared" si="24"/>
        <v>0.21624665832422227</v>
      </c>
      <c r="N144" s="21">
        <f t="shared" si="25"/>
        <v>3574.6766742657237</v>
      </c>
      <c r="O144">
        <f t="shared" si="26"/>
        <v>5.3463430519818146E-5</v>
      </c>
      <c r="P144">
        <f t="shared" si="27"/>
        <v>4.6317940381057851E-6</v>
      </c>
    </row>
    <row r="145" spans="1:16">
      <c r="A145">
        <f t="shared" si="14"/>
        <v>6.3475399999999996E-4</v>
      </c>
      <c r="B145" s="2">
        <v>634.75400000000002</v>
      </c>
      <c r="C145" s="2">
        <f t="shared" si="15"/>
        <v>472297059963.38739</v>
      </c>
      <c r="D145" s="2">
        <f t="shared" si="16"/>
        <v>0.47229705996338739</v>
      </c>
      <c r="E145" s="2">
        <v>3.6884920186000003E-21</v>
      </c>
      <c r="F145" s="2">
        <f t="shared" si="17"/>
        <v>8.6679564490188202E-32</v>
      </c>
      <c r="G145">
        <f t="shared" si="18"/>
        <v>0.36884920186000003</v>
      </c>
      <c r="H145">
        <f t="shared" si="19"/>
        <v>2.7444709857412477E-12</v>
      </c>
      <c r="I145">
        <f t="shared" si="20"/>
        <v>6.4495069692546588E-23</v>
      </c>
      <c r="J145">
        <f t="shared" si="21"/>
        <v>11.786302266171846</v>
      </c>
      <c r="K145">
        <f t="shared" si="22"/>
        <v>2.7697810981552923E-10</v>
      </c>
      <c r="L145" s="18">
        <f t="shared" si="23"/>
        <v>8769753177.0619373</v>
      </c>
      <c r="M145" s="22">
        <f t="shared" si="24"/>
        <v>0.206089204542375</v>
      </c>
      <c r="N145" s="21">
        <f t="shared" si="25"/>
        <v>3533.4444092436052</v>
      </c>
      <c r="O145">
        <f t="shared" si="26"/>
        <v>5.3820304195835781E-5</v>
      </c>
      <c r="P145">
        <f t="shared" si="27"/>
        <v>4.7486088183637729E-6</v>
      </c>
    </row>
    <row r="146" spans="1:16">
      <c r="A146">
        <f t="shared" si="14"/>
        <v>6.4644699999999997E-4</v>
      </c>
      <c r="B146" s="2">
        <v>646.447</v>
      </c>
      <c r="C146" s="2">
        <f t="shared" si="15"/>
        <v>463754102037.75409</v>
      </c>
      <c r="D146" s="2">
        <f t="shared" si="16"/>
        <v>0.46375410203775408</v>
      </c>
      <c r="E146" s="2">
        <v>3.6114408101999994E-21</v>
      </c>
      <c r="F146" s="2">
        <f t="shared" si="17"/>
        <v>8.4868861049899946E-32</v>
      </c>
      <c r="G146">
        <f t="shared" si="18"/>
        <v>0.36114408101999995</v>
      </c>
      <c r="H146">
        <f t="shared" si="19"/>
        <v>2.5908086664441167E-12</v>
      </c>
      <c r="I146">
        <f t="shared" si="20"/>
        <v>6.08840051035325E-23</v>
      </c>
      <c r="J146">
        <f t="shared" si="21"/>
        <v>11.752674440308699</v>
      </c>
      <c r="K146">
        <f t="shared" si="22"/>
        <v>2.7618785588902732E-10</v>
      </c>
      <c r="L146" s="18">
        <f t="shared" si="23"/>
        <v>8431241821.2280741</v>
      </c>
      <c r="M146" s="22">
        <f t="shared" si="24"/>
        <v>0.19813418749185704</v>
      </c>
      <c r="N146" s="21">
        <f t="shared" si="25"/>
        <v>3523.3630410071746</v>
      </c>
      <c r="O146">
        <f t="shared" si="26"/>
        <v>5.4655359777258655E-5</v>
      </c>
      <c r="P146">
        <f t="shared" si="27"/>
        <v>4.9111192773082038E-6</v>
      </c>
    </row>
    <row r="147" spans="1:16">
      <c r="A147">
        <f t="shared" si="14"/>
        <v>6.8533199999999998E-4</v>
      </c>
      <c r="B147" s="2">
        <v>685.33199999999999</v>
      </c>
      <c r="C147" s="2">
        <f t="shared" si="15"/>
        <v>437441193465.35693</v>
      </c>
      <c r="D147" s="2">
        <f t="shared" si="16"/>
        <v>0.43744119346535693</v>
      </c>
      <c r="E147" s="2">
        <v>3.1908144143999996E-21</v>
      </c>
      <c r="F147" s="2">
        <f t="shared" si="17"/>
        <v>7.498414051447091E-32</v>
      </c>
      <c r="G147">
        <f t="shared" si="18"/>
        <v>0.31908144143999995</v>
      </c>
      <c r="H147">
        <f t="shared" si="19"/>
        <v>2.0366678712822396E-12</v>
      </c>
      <c r="I147">
        <f t="shared" si="20"/>
        <v>4.7861696108782578E-23</v>
      </c>
      <c r="J147">
        <f t="shared" si="21"/>
        <v>11.008441432681016</v>
      </c>
      <c r="K147">
        <f t="shared" si="22"/>
        <v>2.5869837979552185E-10</v>
      </c>
      <c r="L147" s="18">
        <f t="shared" si="23"/>
        <v>7026588220.7535439</v>
      </c>
      <c r="M147" s="22">
        <f t="shared" si="24"/>
        <v>0.16512482709884738</v>
      </c>
      <c r="N147" s="21">
        <f t="shared" si="25"/>
        <v>3300.2476057680688</v>
      </c>
      <c r="O147">
        <f t="shared" si="26"/>
        <v>5.4273768020907973E-5</v>
      </c>
      <c r="P147">
        <f t="shared" si="27"/>
        <v>5.1701814479573812E-6</v>
      </c>
    </row>
    <row r="148" spans="1:16">
      <c r="A148">
        <f t="shared" si="14"/>
        <v>6.7048299999999993E-4</v>
      </c>
      <c r="B148" s="2">
        <v>670.48299999999995</v>
      </c>
      <c r="C148" s="2">
        <f t="shared" si="15"/>
        <v>447129081572.53802</v>
      </c>
      <c r="D148" s="2">
        <f t="shared" si="16"/>
        <v>0.447129081572538</v>
      </c>
      <c r="E148" s="2">
        <v>3.2995138912999998E-21</v>
      </c>
      <c r="F148" s="2">
        <f t="shared" si="17"/>
        <v>7.753857828212521E-32</v>
      </c>
      <c r="G148">
        <f t="shared" si="18"/>
        <v>0.32995138912999999</v>
      </c>
      <c r="H148">
        <f t="shared" si="19"/>
        <v>2.2003669233266169E-12</v>
      </c>
      <c r="I148">
        <f t="shared" si="20"/>
        <v>5.1708623922943604E-23</v>
      </c>
      <c r="J148">
        <f t="shared" si="21"/>
        <v>11.136815175060059</v>
      </c>
      <c r="K148">
        <f t="shared" si="22"/>
        <v>2.6171516281288475E-10</v>
      </c>
      <c r="L148" s="18">
        <f t="shared" si="23"/>
        <v>7426875761.0076742</v>
      </c>
      <c r="M148" s="22">
        <f t="shared" si="24"/>
        <v>0.17453158451762746</v>
      </c>
      <c r="N148" s="21">
        <f t="shared" si="25"/>
        <v>3338.7330842548031</v>
      </c>
      <c r="O148">
        <f t="shared" si="26"/>
        <v>5.3717019807587937E-5</v>
      </c>
      <c r="P148">
        <f t="shared" si="27"/>
        <v>5.0062724542394859E-6</v>
      </c>
    </row>
    <row r="149" spans="1:16">
      <c r="A149">
        <f t="shared" ref="A149:A163" si="28">B149*0.000001</f>
        <v>7.1341299999999998E-4</v>
      </c>
      <c r="B149" s="2">
        <v>713.41300000000001</v>
      </c>
      <c r="C149" s="2">
        <f t="shared" ref="C149:C163" si="29">wavelength_to_freq(B149)</f>
        <v>420222855484.83136</v>
      </c>
      <c r="D149" s="2">
        <f t="shared" ref="D149:D163" si="30">C149*0.000000000001</f>
        <v>0.42022285548483135</v>
      </c>
      <c r="E149" s="2">
        <v>2.7681851226000003E-21</v>
      </c>
      <c r="F149" s="2">
        <f t="shared" ref="F149:F163" si="31">sr_to_arcsec2(E149)</f>
        <v>6.5052351921927041E-32</v>
      </c>
      <c r="G149">
        <f t="shared" ref="G149:G163" si="32">Inu_to_MJy(E149)</f>
        <v>0.27681851226000004</v>
      </c>
      <c r="H149">
        <f t="shared" ref="H149:H163" si="33">Inu_to_Ilambda(E149,B149)</f>
        <v>1.6305487238522427E-12</v>
      </c>
      <c r="I149">
        <f t="shared" ref="I149:I163" si="34">Inu_to_Ilambda(F149,B149)</f>
        <v>3.8317895918123638E-23</v>
      </c>
      <c r="J149">
        <f t="shared" ref="J149:J163" si="35">Inu_to_Nnu(E149,C149)</f>
        <v>9.9416719721788294</v>
      </c>
      <c r="K149">
        <f t="shared" ref="K149:K163" si="36">Inu_to_Nnu(F149,C149)</f>
        <v>2.3362929687993535E-10</v>
      </c>
      <c r="L149" s="18">
        <f t="shared" ref="L149:L163" si="37">Ilambda_to_Nlambda(H149,B149)</f>
        <v>5855959709.7929287</v>
      </c>
      <c r="M149" s="22">
        <f t="shared" ref="M149:M163" si="38">sr_to_arcsec2(L149)</f>
        <v>0.13761505643967775</v>
      </c>
      <c r="N149" s="21">
        <f t="shared" ref="N149:N163" si="39">L149*A149^2</f>
        <v>2980.4381777524791</v>
      </c>
      <c r="O149">
        <f t="shared" ref="O149:O163" si="40">Inu_to_Antenna_Temperature(E149,C149)</f>
        <v>5.1022716298027993E-5</v>
      </c>
      <c r="P149">
        <f t="shared" ref="P149:P163" si="41">0.000139*O149*B149</f>
        <v>5.0596374052231812E-6</v>
      </c>
    </row>
    <row r="150" spans="1:16">
      <c r="A150">
        <f t="shared" si="28"/>
        <v>7.2522999999999999E-4</v>
      </c>
      <c r="B150" s="2">
        <v>725.23</v>
      </c>
      <c r="C150" s="2">
        <f t="shared" si="29"/>
        <v>413375684955.11768</v>
      </c>
      <c r="D150" s="2">
        <f t="shared" si="30"/>
        <v>0.41337568495511767</v>
      </c>
      <c r="E150" s="2">
        <v>2.7451405959999997E-21</v>
      </c>
      <c r="F150" s="2">
        <f t="shared" si="31"/>
        <v>6.4510805533999983E-32</v>
      </c>
      <c r="G150">
        <f t="shared" si="32"/>
        <v>0.27451405959999997</v>
      </c>
      <c r="H150">
        <f t="shared" si="33"/>
        <v>1.5647096426921112E-12</v>
      </c>
      <c r="I150">
        <f t="shared" si="34"/>
        <v>3.6770677474213197E-23</v>
      </c>
      <c r="J150">
        <f t="shared" si="35"/>
        <v>10.022213115420872</v>
      </c>
      <c r="K150">
        <f t="shared" si="36"/>
        <v>2.3552201379095416E-10</v>
      </c>
      <c r="L150" s="18">
        <f t="shared" si="37"/>
        <v>5712586643.3452377</v>
      </c>
      <c r="M150" s="22">
        <f t="shared" si="38"/>
        <v>0.13424578929835271</v>
      </c>
      <c r="N150" s="21">
        <f t="shared" si="39"/>
        <v>3004.5838042497294</v>
      </c>
      <c r="O150">
        <f t="shared" si="40"/>
        <v>5.2288059116118012E-5</v>
      </c>
      <c r="P150">
        <f t="shared" si="41"/>
        <v>5.2710008066767342E-6</v>
      </c>
    </row>
    <row r="151" spans="1:16">
      <c r="A151">
        <f t="shared" si="28"/>
        <v>7.3054499999999998E-4</v>
      </c>
      <c r="B151" s="2">
        <v>730.54499999999996</v>
      </c>
      <c r="C151" s="2">
        <f t="shared" si="29"/>
        <v>410368215510.3382</v>
      </c>
      <c r="D151" s="2">
        <f t="shared" si="30"/>
        <v>0.4103682155103382</v>
      </c>
      <c r="E151" s="2">
        <v>2.6469349955000001E-21</v>
      </c>
      <c r="F151" s="2">
        <f t="shared" si="31"/>
        <v>6.2202973867586798E-32</v>
      </c>
      <c r="G151">
        <f t="shared" si="32"/>
        <v>0.26469349954999999</v>
      </c>
      <c r="H151">
        <f t="shared" si="33"/>
        <v>1.4868597973775744E-12</v>
      </c>
      <c r="I151">
        <f t="shared" si="34"/>
        <v>3.4941206065988807E-23</v>
      </c>
      <c r="J151">
        <f t="shared" si="35"/>
        <v>9.7344972957130693</v>
      </c>
      <c r="K151">
        <f t="shared" si="36"/>
        <v>2.2876069186767241E-10</v>
      </c>
      <c r="L151" s="18">
        <f t="shared" si="37"/>
        <v>5468148141.6367016</v>
      </c>
      <c r="M151" s="22">
        <f t="shared" si="38"/>
        <v>0.12850148437214276</v>
      </c>
      <c r="N151" s="21">
        <f t="shared" si="39"/>
        <v>2918.3287743311998</v>
      </c>
      <c r="O151">
        <f t="shared" si="40"/>
        <v>5.1159186341811328E-5</v>
      </c>
      <c r="P151">
        <f t="shared" si="41"/>
        <v>5.1949982022649191E-6</v>
      </c>
    </row>
    <row r="152" spans="1:16">
      <c r="A152">
        <f t="shared" si="28"/>
        <v>7.4400300000000003E-4</v>
      </c>
      <c r="B152" s="2">
        <v>744.00300000000004</v>
      </c>
      <c r="C152" s="2">
        <f t="shared" si="29"/>
        <v>402945213930.58899</v>
      </c>
      <c r="D152" s="2">
        <f t="shared" si="30"/>
        <v>0.40294521393058896</v>
      </c>
      <c r="E152" s="2">
        <v>2.5061741055000001E-21</v>
      </c>
      <c r="F152" s="2">
        <f t="shared" si="31"/>
        <v>5.8895092874236479E-32</v>
      </c>
      <c r="G152">
        <f t="shared" si="32"/>
        <v>0.25061741055000003</v>
      </c>
      <c r="H152">
        <f t="shared" si="33"/>
        <v>1.357320953125189E-12</v>
      </c>
      <c r="I152">
        <f t="shared" si="34"/>
        <v>3.1897043153953843E-23</v>
      </c>
      <c r="J152">
        <f t="shared" si="35"/>
        <v>9.3866193254599182</v>
      </c>
      <c r="K152">
        <f t="shared" si="36"/>
        <v>2.2058555937308752E-10</v>
      </c>
      <c r="L152" s="18">
        <f t="shared" si="37"/>
        <v>5083707098.2004747</v>
      </c>
      <c r="M152" s="22">
        <f t="shared" si="38"/>
        <v>0.11946711963740389</v>
      </c>
      <c r="N152" s="21">
        <f t="shared" si="39"/>
        <v>2814.0375860237382</v>
      </c>
      <c r="O152">
        <f t="shared" si="40"/>
        <v>5.0239697903198799E-5</v>
      </c>
      <c r="P152">
        <f t="shared" si="41"/>
        <v>5.1956095483112323E-6</v>
      </c>
    </row>
    <row r="153" spans="1:16">
      <c r="A153">
        <f t="shared" si="28"/>
        <v>7.5357000000000006E-4</v>
      </c>
      <c r="B153" s="2">
        <v>753.57</v>
      </c>
      <c r="C153" s="2">
        <f t="shared" si="29"/>
        <v>397829595127.19452</v>
      </c>
      <c r="D153" s="2">
        <f t="shared" si="30"/>
        <v>0.39782959512719451</v>
      </c>
      <c r="E153" s="2">
        <v>2.4546864536999999E-21</v>
      </c>
      <c r="F153" s="2">
        <f t="shared" si="31"/>
        <v>5.7685133028277412E-32</v>
      </c>
      <c r="G153">
        <f t="shared" si="32"/>
        <v>0.24546864536999999</v>
      </c>
      <c r="H153">
        <f t="shared" si="33"/>
        <v>1.2958941014632746E-12</v>
      </c>
      <c r="I153">
        <f t="shared" si="34"/>
        <v>3.0453512105707445E-23</v>
      </c>
      <c r="J153">
        <f t="shared" si="35"/>
        <v>9.3119987035246297</v>
      </c>
      <c r="K153">
        <f t="shared" si="36"/>
        <v>2.1883197471607291E-10</v>
      </c>
      <c r="L153" s="18">
        <f t="shared" si="37"/>
        <v>4916051161.8670645</v>
      </c>
      <c r="M153" s="22">
        <f t="shared" si="38"/>
        <v>0.1155272050402481</v>
      </c>
      <c r="N153" s="21">
        <f t="shared" si="39"/>
        <v>2791.6668871024754</v>
      </c>
      <c r="O153">
        <f t="shared" si="40"/>
        <v>5.0481195880889674E-5</v>
      </c>
      <c r="P153">
        <f t="shared" si="41"/>
        <v>5.2877149544147226E-6</v>
      </c>
    </row>
    <row r="154" spans="1:16">
      <c r="A154">
        <f t="shared" si="28"/>
        <v>7.5770799999999995E-4</v>
      </c>
      <c r="B154" s="2">
        <v>757.70799999999997</v>
      </c>
      <c r="C154" s="2">
        <f t="shared" si="29"/>
        <v>395656965480.10583</v>
      </c>
      <c r="D154" s="2">
        <f t="shared" si="30"/>
        <v>0.39565696548010582</v>
      </c>
      <c r="E154" s="2">
        <v>2.3832972688933332E-21</v>
      </c>
      <c r="F154" s="2">
        <f t="shared" si="31"/>
        <v>5.6007487145584108E-32</v>
      </c>
      <c r="G154">
        <f t="shared" si="32"/>
        <v>0.23832972688933332</v>
      </c>
      <c r="H154">
        <f t="shared" si="33"/>
        <v>1.2445007380776762E-12</v>
      </c>
      <c r="I154">
        <f t="shared" si="34"/>
        <v>2.9245768037539316E-23</v>
      </c>
      <c r="J154">
        <f t="shared" si="35"/>
        <v>9.0908264776922749</v>
      </c>
      <c r="K154">
        <f t="shared" si="36"/>
        <v>2.1363442728590375E-10</v>
      </c>
      <c r="L154" s="18">
        <f t="shared" si="37"/>
        <v>4747011801.2082815</v>
      </c>
      <c r="M154" s="22">
        <f t="shared" si="38"/>
        <v>0.11155477997067603</v>
      </c>
      <c r="N154" s="21">
        <f t="shared" si="39"/>
        <v>2725.3611240905843</v>
      </c>
      <c r="O154">
        <f t="shared" si="40"/>
        <v>4.9552819222374585E-5</v>
      </c>
      <c r="P154">
        <f t="shared" si="41"/>
        <v>5.2189728890812327E-6</v>
      </c>
    </row>
    <row r="155" spans="1:16">
      <c r="A155">
        <f t="shared" si="28"/>
        <v>7.6186899999999998E-4</v>
      </c>
      <c r="B155" s="2">
        <v>761.86900000000003</v>
      </c>
      <c r="C155" s="2">
        <f t="shared" si="29"/>
        <v>393496057721.20929</v>
      </c>
      <c r="D155" s="2">
        <f t="shared" si="30"/>
        <v>0.39349605772120927</v>
      </c>
      <c r="E155" s="2">
        <v>2.4708884616733331E-21</v>
      </c>
      <c r="F155" s="2">
        <f t="shared" si="31"/>
        <v>5.8065880224669109E-32</v>
      </c>
      <c r="G155">
        <f t="shared" si="32"/>
        <v>0.24708884616733331</v>
      </c>
      <c r="H155">
        <f t="shared" si="33"/>
        <v>1.2761837910943743E-12</v>
      </c>
      <c r="I155">
        <f t="shared" si="34"/>
        <v>2.9990319801067138E-23</v>
      </c>
      <c r="J155">
        <f t="shared" si="35"/>
        <v>9.4766910928204613</v>
      </c>
      <c r="K155">
        <f t="shared" si="36"/>
        <v>2.2270224595619604E-10</v>
      </c>
      <c r="L155" s="18">
        <f t="shared" si="37"/>
        <v>4894595508.2390146</v>
      </c>
      <c r="M155" s="22">
        <f t="shared" si="38"/>
        <v>0.11502299716804629</v>
      </c>
      <c r="N155" s="21">
        <f t="shared" si="39"/>
        <v>2841.0404216564411</v>
      </c>
      <c r="O155">
        <f t="shared" si="40"/>
        <v>5.1939785799234681E-5</v>
      </c>
      <c r="P155">
        <f t="shared" si="41"/>
        <v>5.50041246072372E-6</v>
      </c>
    </row>
    <row r="156" spans="1:16">
      <c r="A156">
        <f t="shared" si="28"/>
        <v>7.6745199999999996E-4</v>
      </c>
      <c r="B156" s="2">
        <v>767.452</v>
      </c>
      <c r="C156" s="2">
        <f t="shared" si="29"/>
        <v>390633483266.70593</v>
      </c>
      <c r="D156" s="2">
        <f t="shared" si="30"/>
        <v>0.39063348326670594</v>
      </c>
      <c r="E156" s="2">
        <v>2.310639365253333E-21</v>
      </c>
      <c r="F156" s="2">
        <f t="shared" si="31"/>
        <v>5.4300026369601267E-32</v>
      </c>
      <c r="G156">
        <f t="shared" si="32"/>
        <v>0.2310639365253333</v>
      </c>
      <c r="H156">
        <f t="shared" si="33"/>
        <v>1.1761166871961761E-12</v>
      </c>
      <c r="I156">
        <f t="shared" si="34"/>
        <v>2.7638742803760142E-23</v>
      </c>
      <c r="J156">
        <f t="shared" si="35"/>
        <v>8.9270233430426646</v>
      </c>
      <c r="K156">
        <f t="shared" si="36"/>
        <v>2.0978505353046182E-10</v>
      </c>
      <c r="L156" s="18">
        <f t="shared" si="37"/>
        <v>4543859712.0027695</v>
      </c>
      <c r="M156" s="22">
        <f t="shared" si="38"/>
        <v>0.106780705761268</v>
      </c>
      <c r="N156" s="21">
        <f t="shared" si="39"/>
        <v>2676.2541813639032</v>
      </c>
      <c r="O156">
        <f t="shared" si="40"/>
        <v>4.9285710279609928E-5</v>
      </c>
      <c r="P156">
        <f t="shared" si="41"/>
        <v>5.2575939526455005E-6</v>
      </c>
    </row>
    <row r="157" spans="1:16">
      <c r="A157">
        <f t="shared" si="28"/>
        <v>7.8158999999999998E-4</v>
      </c>
      <c r="B157" s="2">
        <v>781.59</v>
      </c>
      <c r="C157" s="2">
        <f t="shared" si="29"/>
        <v>383567404905.38513</v>
      </c>
      <c r="D157" s="2">
        <f t="shared" si="30"/>
        <v>0.3835674049053851</v>
      </c>
      <c r="E157" s="2">
        <v>2.2102088602999999E-21</v>
      </c>
      <c r="F157" s="2">
        <f t="shared" si="31"/>
        <v>5.1939909447296317E-32</v>
      </c>
      <c r="G157">
        <f t="shared" si="32"/>
        <v>0.22102088603</v>
      </c>
      <c r="H157">
        <f t="shared" si="33"/>
        <v>1.0846659717296279E-12</v>
      </c>
      <c r="I157">
        <f t="shared" si="34"/>
        <v>2.5489650939392966E-23</v>
      </c>
      <c r="J157">
        <f t="shared" si="35"/>
        <v>8.6963215588152956</v>
      </c>
      <c r="K157">
        <f t="shared" si="36"/>
        <v>2.043635614727054E-10</v>
      </c>
      <c r="L157" s="18">
        <f t="shared" si="37"/>
        <v>4267743308.5601602</v>
      </c>
      <c r="M157" s="22">
        <f t="shared" si="38"/>
        <v>0.10029197012667478</v>
      </c>
      <c r="N157" s="21">
        <f t="shared" si="39"/>
        <v>2607.0915287124121</v>
      </c>
      <c r="O157">
        <f t="shared" si="40"/>
        <v>4.889649300048191E-5</v>
      </c>
      <c r="P157">
        <f t="shared" si="41"/>
        <v>5.3121643850302853E-6</v>
      </c>
    </row>
    <row r="158" spans="1:16">
      <c r="A158">
        <f t="shared" si="28"/>
        <v>7.9453599999999988E-4</v>
      </c>
      <c r="B158" s="2">
        <v>794.53599999999994</v>
      </c>
      <c r="C158" s="2">
        <f t="shared" si="29"/>
        <v>377317639477.63226</v>
      </c>
      <c r="D158" s="2">
        <f t="shared" si="30"/>
        <v>0.37731763947763225</v>
      </c>
      <c r="E158" s="2">
        <v>2.2898103767466668E-21</v>
      </c>
      <c r="F158" s="2">
        <f t="shared" si="31"/>
        <v>5.3810545128100778E-32</v>
      </c>
      <c r="G158">
        <f t="shared" si="32"/>
        <v>0.22898103767466668</v>
      </c>
      <c r="H158">
        <f t="shared" si="33"/>
        <v>1.0874093133670976E-12</v>
      </c>
      <c r="I158">
        <f t="shared" si="34"/>
        <v>2.5554119469400493E-23</v>
      </c>
      <c r="J158">
        <f t="shared" si="35"/>
        <v>9.1587536795513032</v>
      </c>
      <c r="K158">
        <f t="shared" si="36"/>
        <v>2.1523071656740052E-10</v>
      </c>
      <c r="L158" s="18">
        <f t="shared" si="37"/>
        <v>4349405588.8284197</v>
      </c>
      <c r="M158" s="22">
        <f t="shared" si="38"/>
        <v>0.10221103375843373</v>
      </c>
      <c r="N158" s="21">
        <f t="shared" si="39"/>
        <v>2745.7251862216926</v>
      </c>
      <c r="O158">
        <f t="shared" si="40"/>
        <v>5.2349566032017925E-5</v>
      </c>
      <c r="P158">
        <f t="shared" si="41"/>
        <v>5.7815124567573388E-6</v>
      </c>
    </row>
    <row r="159" spans="1:16">
      <c r="A159">
        <f t="shared" si="28"/>
        <v>7.9598799999999997E-4</v>
      </c>
      <c r="B159" s="2">
        <v>795.98800000000006</v>
      </c>
      <c r="C159" s="2">
        <f t="shared" si="29"/>
        <v>376629356221.45056</v>
      </c>
      <c r="D159" s="2">
        <f t="shared" si="30"/>
        <v>0.37662935622145055</v>
      </c>
      <c r="E159" s="2">
        <v>2.1640393091333332E-21</v>
      </c>
      <c r="F159" s="2">
        <f t="shared" si="31"/>
        <v>5.0854924969180753E-32</v>
      </c>
      <c r="G159">
        <f t="shared" si="32"/>
        <v>0.21640393091333332</v>
      </c>
      <c r="H159">
        <f t="shared" si="33"/>
        <v>1.0239359536033204E-12</v>
      </c>
      <c r="I159">
        <f t="shared" si="34"/>
        <v>2.4062495479621196E-23</v>
      </c>
      <c r="J159">
        <f t="shared" si="35"/>
        <v>8.6715143301216884</v>
      </c>
      <c r="K159">
        <f t="shared" si="36"/>
        <v>2.0378059158459744E-10</v>
      </c>
      <c r="L159" s="18">
        <f t="shared" si="37"/>
        <v>4103010170.5287185</v>
      </c>
      <c r="M159" s="22">
        <f t="shared" si="38"/>
        <v>9.6420741291242146E-2</v>
      </c>
      <c r="N159" s="21">
        <f t="shared" si="39"/>
        <v>2599.6545088942598</v>
      </c>
      <c r="O159">
        <f t="shared" si="40"/>
        <v>4.9655183802722999E-5</v>
      </c>
      <c r="P159">
        <f t="shared" si="41"/>
        <v>5.4939653318219006E-6</v>
      </c>
    </row>
    <row r="160" spans="1:16">
      <c r="A160">
        <f t="shared" si="28"/>
        <v>8.1510199999999995E-4</v>
      </c>
      <c r="B160" s="2">
        <v>815.10199999999998</v>
      </c>
      <c r="C160" s="2">
        <f t="shared" si="29"/>
        <v>367797463384.95062</v>
      </c>
      <c r="D160" s="2">
        <f t="shared" si="30"/>
        <v>0.36779746338495062</v>
      </c>
      <c r="E160" s="2">
        <v>2.0572114847400002E-21</v>
      </c>
      <c r="F160" s="2">
        <f t="shared" si="31"/>
        <v>4.8344471036474933E-32</v>
      </c>
      <c r="G160">
        <f t="shared" si="32"/>
        <v>0.20572114847400003</v>
      </c>
      <c r="H160">
        <f t="shared" si="33"/>
        <v>9.2827298391337551E-13</v>
      </c>
      <c r="I160">
        <f t="shared" si="34"/>
        <v>2.1814415638659573E-23</v>
      </c>
      <c r="J160">
        <f t="shared" si="35"/>
        <v>8.4413941527857581</v>
      </c>
      <c r="K160">
        <f t="shared" si="36"/>
        <v>1.9837276728911362E-10</v>
      </c>
      <c r="L160" s="18">
        <f t="shared" si="37"/>
        <v>3808999802.2666569</v>
      </c>
      <c r="M160" s="22">
        <f t="shared" si="38"/>
        <v>8.9511497473431664E-2</v>
      </c>
      <c r="N160" s="21">
        <f t="shared" si="39"/>
        <v>2530.6662175965284</v>
      </c>
      <c r="O160">
        <f t="shared" si="40"/>
        <v>4.9498183927035324E-5</v>
      </c>
      <c r="P160">
        <f t="shared" si="41"/>
        <v>5.608103551425914E-6</v>
      </c>
    </row>
    <row r="161" spans="1:16">
      <c r="A161">
        <f t="shared" si="28"/>
        <v>8.3467600000000002E-4</v>
      </c>
      <c r="B161" s="2">
        <v>834.67600000000004</v>
      </c>
      <c r="C161" s="2">
        <f t="shared" si="29"/>
        <v>359172239288.05908</v>
      </c>
      <c r="D161" s="2">
        <f t="shared" si="30"/>
        <v>0.35917223928805908</v>
      </c>
      <c r="E161" s="2">
        <v>1.8583671624533338E-21</v>
      </c>
      <c r="F161" s="2">
        <f t="shared" si="31"/>
        <v>4.3671629352057558E-32</v>
      </c>
      <c r="G161">
        <f t="shared" si="32"/>
        <v>0.18583671624533338</v>
      </c>
      <c r="H161">
        <f t="shared" si="33"/>
        <v>7.9968022940369674E-13</v>
      </c>
      <c r="I161">
        <f t="shared" si="34"/>
        <v>1.8792485836104836E-23</v>
      </c>
      <c r="J161">
        <f t="shared" si="35"/>
        <v>7.8085919591335013</v>
      </c>
      <c r="K161">
        <f t="shared" si="36"/>
        <v>1.8350191538605526E-10</v>
      </c>
      <c r="L161" s="18">
        <f t="shared" si="37"/>
        <v>3360141491.6071763</v>
      </c>
      <c r="M161" s="22">
        <f t="shared" si="38"/>
        <v>7.8963326923090396E-2</v>
      </c>
      <c r="N161" s="21">
        <f t="shared" si="39"/>
        <v>2340.956898861748</v>
      </c>
      <c r="O161">
        <f t="shared" si="40"/>
        <v>4.68871442984352E-5</v>
      </c>
      <c r="P161">
        <f t="shared" si="41"/>
        <v>5.4398447935672573E-6</v>
      </c>
    </row>
    <row r="162" spans="1:16">
      <c r="A162">
        <f t="shared" si="28"/>
        <v>8.4232899999999995E-4</v>
      </c>
      <c r="B162" s="2">
        <v>842.32899999999995</v>
      </c>
      <c r="C162" s="2">
        <f t="shared" si="29"/>
        <v>355908971435.15186</v>
      </c>
      <c r="D162" s="2">
        <f t="shared" si="30"/>
        <v>0.35590897143515182</v>
      </c>
      <c r="E162" s="2">
        <v>1.8781437790633334E-21</v>
      </c>
      <c r="F162" s="2">
        <f t="shared" si="31"/>
        <v>4.4136379853400607E-32</v>
      </c>
      <c r="G162">
        <f t="shared" si="32"/>
        <v>0.18781437790633335</v>
      </c>
      <c r="H162">
        <f t="shared" si="33"/>
        <v>7.9357141997219624E-13</v>
      </c>
      <c r="I162">
        <f t="shared" si="34"/>
        <v>1.8648928811064286E-23</v>
      </c>
      <c r="J162">
        <f t="shared" si="35"/>
        <v>7.9640480083003684</v>
      </c>
      <c r="K162">
        <f t="shared" si="36"/>
        <v>1.8715513262800657E-10</v>
      </c>
      <c r="L162" s="18">
        <f t="shared" si="37"/>
        <v>3365046359.6698608</v>
      </c>
      <c r="M162" s="22">
        <f t="shared" si="38"/>
        <v>7.9078591325293629E-2</v>
      </c>
      <c r="N162" s="21">
        <f t="shared" si="39"/>
        <v>2387.561448397892</v>
      </c>
      <c r="O162">
        <f t="shared" si="40"/>
        <v>4.8259047899770176E-5</v>
      </c>
      <c r="P162">
        <f t="shared" si="41"/>
        <v>5.6503493826128052E-6</v>
      </c>
    </row>
    <row r="163" spans="1:16">
      <c r="A163">
        <f t="shared" si="28"/>
        <v>8.4540899999999998E-4</v>
      </c>
      <c r="B163" s="2">
        <v>845.40899999999999</v>
      </c>
      <c r="C163" s="2">
        <f t="shared" si="29"/>
        <v>354612321373.44171</v>
      </c>
      <c r="D163" s="2">
        <f t="shared" si="30"/>
        <v>0.35461232137344173</v>
      </c>
      <c r="E163" s="2">
        <v>1.8469255898800001E-21</v>
      </c>
      <c r="F163" s="2">
        <f t="shared" si="31"/>
        <v>4.3402752390215608E-32</v>
      </c>
      <c r="G163">
        <f t="shared" si="32"/>
        <v>0.18469255898799999</v>
      </c>
      <c r="H163">
        <f t="shared" si="33"/>
        <v>7.747049899295608E-13</v>
      </c>
      <c r="I163">
        <f t="shared" si="34"/>
        <v>1.8205567694560918E-23</v>
      </c>
      <c r="J163">
        <f t="shared" si="35"/>
        <v>7.860307673349217</v>
      </c>
      <c r="K163">
        <f t="shared" si="36"/>
        <v>1.8471723469891057E-10</v>
      </c>
      <c r="L163" s="18">
        <f t="shared" si="37"/>
        <v>3297057342.3701925</v>
      </c>
      <c r="M163" s="22">
        <f t="shared" si="38"/>
        <v>7.7480849380907379E-2</v>
      </c>
      <c r="N163" s="21">
        <f t="shared" si="39"/>
        <v>2356.4608794265455</v>
      </c>
      <c r="O163">
        <f t="shared" si="40"/>
        <v>4.7804583624217806E-5</v>
      </c>
      <c r="P163">
        <f t="shared" si="41"/>
        <v>5.6176051079661226E-6</v>
      </c>
    </row>
    <row r="164" spans="1:16">
      <c r="B164" s="2"/>
      <c r="C164" s="2"/>
      <c r="D164" s="2"/>
    </row>
    <row r="165" spans="1:16">
      <c r="B165" s="2"/>
      <c r="C165" s="2"/>
      <c r="D165" s="2"/>
    </row>
    <row r="166" spans="1:16">
      <c r="B166" s="2"/>
      <c r="C166" s="2"/>
      <c r="D166" s="2"/>
    </row>
    <row r="167" spans="1:16">
      <c r="B167" s="2"/>
      <c r="C167" s="2"/>
      <c r="D167" s="2"/>
    </row>
    <row r="168" spans="1:16">
      <c r="B168" s="2"/>
      <c r="C168" s="2"/>
      <c r="D168" s="2"/>
    </row>
    <row r="169" spans="1:16">
      <c r="B169" s="2"/>
      <c r="C169" s="2"/>
      <c r="D169" s="2"/>
    </row>
    <row r="170" spans="1:16">
      <c r="B170" s="2"/>
      <c r="C170" s="2"/>
      <c r="D170" s="2"/>
    </row>
    <row r="171" spans="1:16">
      <c r="B171" s="2"/>
      <c r="C171" s="2"/>
      <c r="D171" s="2"/>
    </row>
    <row r="172" spans="1:16">
      <c r="B172" s="2"/>
      <c r="C172" s="2"/>
      <c r="D172" s="2"/>
    </row>
    <row r="173" spans="1:16">
      <c r="B173" s="2"/>
      <c r="C173" s="2"/>
      <c r="D173" s="2"/>
    </row>
    <row r="174" spans="1:16">
      <c r="B174" s="2"/>
      <c r="C174" s="2"/>
      <c r="D174" s="2"/>
    </row>
    <row r="175" spans="1:16">
      <c r="B175" s="2"/>
      <c r="C175" s="2"/>
      <c r="D175" s="2"/>
    </row>
    <row r="176" spans="1:16">
      <c r="B176" s="2"/>
      <c r="C176" s="2"/>
      <c r="D176" s="2"/>
    </row>
    <row r="177" spans="2:4">
      <c r="B177" s="2"/>
      <c r="C177" s="2"/>
      <c r="D177" s="2"/>
    </row>
    <row r="178" spans="2:4">
      <c r="B178" s="2"/>
      <c r="C178" s="2"/>
      <c r="D178" s="2"/>
    </row>
    <row r="179" spans="2:4">
      <c r="B179" s="2"/>
      <c r="C179" s="2"/>
      <c r="D179" s="2"/>
    </row>
    <row r="180" spans="2:4">
      <c r="B180" s="2"/>
      <c r="C180" s="2"/>
      <c r="D180" s="2"/>
    </row>
    <row r="181" spans="2:4">
      <c r="B181" s="2"/>
      <c r="C181" s="2"/>
      <c r="D181" s="2"/>
    </row>
    <row r="182" spans="2:4">
      <c r="B182" s="2"/>
      <c r="C182" s="2"/>
      <c r="D182" s="2"/>
    </row>
    <row r="183" spans="2:4">
      <c r="B183" s="2"/>
      <c r="C183" s="2"/>
      <c r="D183" s="2"/>
    </row>
    <row r="184" spans="2:4">
      <c r="B184" s="2"/>
      <c r="C184" s="2"/>
      <c r="D184" s="2"/>
    </row>
    <row r="185" spans="2:4">
      <c r="B185" s="2"/>
      <c r="C185" s="2"/>
      <c r="D185" s="2"/>
    </row>
    <row r="186" spans="2:4">
      <c r="B186" s="2"/>
      <c r="C186" s="2"/>
      <c r="D186" s="2"/>
    </row>
    <row r="187" spans="2:4">
      <c r="B187" s="2"/>
      <c r="C187" s="2"/>
      <c r="D187" s="2"/>
    </row>
    <row r="188" spans="2:4">
      <c r="B188" s="2"/>
      <c r="C188" s="2"/>
      <c r="D188" s="2"/>
    </row>
    <row r="189" spans="2:4">
      <c r="B189" s="2"/>
      <c r="C189" s="2"/>
      <c r="D189" s="2"/>
    </row>
    <row r="190" spans="2:4">
      <c r="B190" s="2"/>
      <c r="C190" s="2"/>
      <c r="D190" s="2"/>
    </row>
    <row r="191" spans="2:4">
      <c r="B191" s="2"/>
      <c r="C191" s="2"/>
      <c r="D191" s="2"/>
    </row>
    <row r="192" spans="2:4">
      <c r="B192" s="2"/>
      <c r="C192" s="2"/>
      <c r="D192" s="2"/>
    </row>
    <row r="193" spans="2:4">
      <c r="B193" s="2"/>
      <c r="C193" s="2"/>
      <c r="D193" s="2"/>
    </row>
    <row r="194" spans="2:4">
      <c r="B194" s="2"/>
      <c r="C194" s="2"/>
      <c r="D194" s="2"/>
    </row>
    <row r="195" spans="2:4">
      <c r="B195" s="2"/>
      <c r="C195" s="2"/>
      <c r="D195" s="2"/>
    </row>
    <row r="196" spans="2:4">
      <c r="B196" s="2"/>
      <c r="C196" s="2"/>
      <c r="D196" s="2"/>
    </row>
    <row r="197" spans="2:4">
      <c r="B197" s="2"/>
      <c r="C197" s="2"/>
      <c r="D197" s="2"/>
    </row>
    <row r="198" spans="2:4">
      <c r="B198" s="2"/>
      <c r="C198" s="2"/>
      <c r="D198" s="2"/>
    </row>
    <row r="199" spans="2:4">
      <c r="B199" s="2"/>
      <c r="C199" s="2"/>
      <c r="D199" s="2"/>
    </row>
    <row r="200" spans="2:4">
      <c r="B200" s="2"/>
      <c r="C200" s="2"/>
      <c r="D200" s="2"/>
    </row>
    <row r="201" spans="2:4">
      <c r="B201" s="2"/>
      <c r="C201" s="2"/>
      <c r="D201" s="2"/>
    </row>
    <row r="202" spans="2:4">
      <c r="B202" s="2"/>
      <c r="C202" s="2"/>
      <c r="D202" s="2"/>
    </row>
    <row r="203" spans="2:4">
      <c r="B203" s="2"/>
      <c r="C203" s="2"/>
      <c r="D203" s="2"/>
    </row>
    <row r="204" spans="2:4">
      <c r="B204" s="2"/>
      <c r="C204" s="2"/>
      <c r="D204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P163"/>
  <sheetViews>
    <sheetView topLeftCell="C1" workbookViewId="0">
      <selection activeCell="N6" sqref="N6"/>
    </sheetView>
  </sheetViews>
  <sheetFormatPr defaultRowHeight="15"/>
  <cols>
    <col min="1" max="1" width="15.42578125" bestFit="1" customWidth="1"/>
    <col min="2" max="2" width="20.140625" customWidth="1"/>
    <col min="3" max="4" width="14.42578125" customWidth="1"/>
    <col min="5" max="5" width="15.28515625" customWidth="1"/>
    <col min="6" max="6" width="19" bestFit="1" customWidth="1"/>
    <col min="7" max="7" width="12" bestFit="1" customWidth="1"/>
    <col min="8" max="8" width="22.5703125" customWidth="1"/>
    <col min="9" max="9" width="22.42578125" bestFit="1" customWidth="1"/>
    <col min="10" max="10" width="22.28515625" customWidth="1"/>
    <col min="11" max="11" width="23.140625" customWidth="1"/>
    <col min="12" max="12" width="27.28515625" customWidth="1"/>
    <col min="13" max="13" width="11.42578125" customWidth="1"/>
    <col min="14" max="14" width="13" customWidth="1"/>
    <col min="15" max="15" width="12" bestFit="1" customWidth="1"/>
    <col min="16" max="16" width="16.28515625" customWidth="1"/>
  </cols>
  <sheetData>
    <row r="2" spans="1:16">
      <c r="N2" t="s">
        <v>23</v>
      </c>
    </row>
    <row r="4" spans="1:16" s="10" customFormat="1">
      <c r="E4" s="10" t="s">
        <v>15</v>
      </c>
      <c r="F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1" t="s">
        <v>26</v>
      </c>
      <c r="O4" s="10" t="s">
        <v>27</v>
      </c>
      <c r="P4" s="10" t="s">
        <v>26</v>
      </c>
    </row>
    <row r="5" spans="1:16" s="8" customFormat="1">
      <c r="A5" t="s">
        <v>9</v>
      </c>
      <c r="B5" s="7" t="s">
        <v>0</v>
      </c>
      <c r="C5" s="8" t="s">
        <v>1</v>
      </c>
      <c r="D5" t="s">
        <v>8</v>
      </c>
      <c r="E5" s="5" t="s">
        <v>12</v>
      </c>
      <c r="F5" s="1" t="s">
        <v>10</v>
      </c>
      <c r="G5" s="1" t="s">
        <v>14</v>
      </c>
      <c r="H5" s="1" t="s">
        <v>11</v>
      </c>
      <c r="I5" s="1" t="s">
        <v>2</v>
      </c>
      <c r="J5" s="1" t="s">
        <v>13</v>
      </c>
      <c r="K5" s="1" t="s">
        <v>4</v>
      </c>
      <c r="L5" s="1" t="s">
        <v>7</v>
      </c>
      <c r="M5" s="1" t="s">
        <v>3</v>
      </c>
      <c r="N5" s="12" t="s">
        <v>32</v>
      </c>
      <c r="O5" s="1" t="s">
        <v>28</v>
      </c>
      <c r="P5" t="s">
        <v>30</v>
      </c>
    </row>
    <row r="6" spans="1:16">
      <c r="A6">
        <f>B6*0.000001</f>
        <v>8.4829100000000004E-6</v>
      </c>
      <c r="B6" s="2">
        <v>8.4829100000000004</v>
      </c>
      <c r="C6" s="2">
        <f>wavelength_to_freq(B6)</f>
        <v>35340755471884.055</v>
      </c>
      <c r="D6" s="2">
        <f>C6*0.000000000001</f>
        <v>35.340755471884052</v>
      </c>
      <c r="E6" s="2">
        <v>2.3486251238705594E-280</v>
      </c>
      <c r="F6">
        <f>sr_to_arcsec2(E6)</f>
        <v>5.5192691718249714E-291</v>
      </c>
      <c r="G6">
        <f>Inu_to_MJy(E6)</f>
        <v>2.3486251238705595E-260</v>
      </c>
      <c r="H6">
        <f>Inu_to_Ilambda(E6,B6)</f>
        <v>9.7846359560378289E-268</v>
      </c>
      <c r="I6">
        <f>sr_to_arcsec2(H6)</f>
        <v>2.2993895041321244E-278</v>
      </c>
      <c r="J6" s="2">
        <f>Inu_to_Nnu(E6,C6)</f>
        <v>1.0029559102492864E-260</v>
      </c>
      <c r="K6">
        <f>sr_to_arcsec2(J6)</f>
        <v>2.3569464449123486E-271</v>
      </c>
      <c r="L6">
        <f xml:space="preserve"> H6 * B6 / (6.62E-34 * 300000000 * 1000000)</f>
        <v>4.1793648639392174E-248</v>
      </c>
      <c r="M6">
        <f>L6*0.0000000000235</f>
        <v>9.8215074302571608E-259</v>
      </c>
      <c r="N6">
        <f>L6*A6^2</f>
        <v>3.0074610120484325E-258</v>
      </c>
      <c r="O6">
        <f>Inu_to_Antenna_Temperature(E6,C6)</f>
        <v>6.1205412384477771E-268</v>
      </c>
      <c r="P6">
        <f t="shared" ref="P6:P19" si="0">0.000139*O6*B6</f>
        <v>7.2168800663087035E-271</v>
      </c>
    </row>
    <row r="7" spans="1:16">
      <c r="A7">
        <f t="shared" ref="A7:A70" si="1">B7*0.000001</f>
        <v>8.8952200000000005E-6</v>
      </c>
      <c r="B7" s="2">
        <v>8.8952200000000001</v>
      </c>
      <c r="C7" s="2">
        <f t="shared" ref="C7:C70" si="2">wavelength_to_freq(B7)</f>
        <v>33702645690606.863</v>
      </c>
      <c r="D7" s="2">
        <f t="shared" ref="D7:D70" si="3">C7*0.000000000001</f>
        <v>33.702645690606865</v>
      </c>
      <c r="E7" s="2">
        <v>6.9907625061671463E-268</v>
      </c>
      <c r="F7">
        <f>sr_to_arcsec2(E7)</f>
        <v>1.6428292278612572E-278</v>
      </c>
      <c r="G7">
        <f>Inu_to_MJy(E7)</f>
        <v>6.9907625061671464E-248</v>
      </c>
      <c r="H7">
        <f>Inu_to_Ilambda(E7,B7)</f>
        <v>2.6486943757718215E-255</v>
      </c>
      <c r="I7">
        <f t="shared" ref="I7:I70" si="4">sr_to_arcsec2(H7)</f>
        <v>6.2244319304953909E-266</v>
      </c>
      <c r="J7" s="2">
        <f>Inu_to_Nnu(E7,C7)</f>
        <v>3.1304337866740872E-248</v>
      </c>
      <c r="K7">
        <f t="shared" ref="K7:K70" si="5">sr_to_arcsec2(J7)</f>
        <v>7.3565195729302904E-259</v>
      </c>
      <c r="L7">
        <f t="shared" ref="L7:L70" si="6" xml:space="preserve"> H7 * B7 / (6.62E-34 * 300000000 * 1000000)</f>
        <v>1.1863403416542306E-235</v>
      </c>
      <c r="M7">
        <f t="shared" ref="M7:M70" si="7">L7*0.0000000000235</f>
        <v>2.7878998028874418E-246</v>
      </c>
      <c r="N7">
        <f t="shared" ref="N7:N70" si="8">L7*A7^2</f>
        <v>9.3869106986780968E-246</v>
      </c>
      <c r="O7">
        <f t="shared" ref="O7:O70" si="9">Inu_to_Antenna_Temperature(E7,C7)</f>
        <v>2.0032001455294085E-255</v>
      </c>
      <c r="P7">
        <f t="shared" si="0"/>
        <v>2.4768279337937388E-258</v>
      </c>
    </row>
    <row r="8" spans="1:16">
      <c r="A8">
        <f t="shared" si="1"/>
        <v>1.0293799999999998E-5</v>
      </c>
      <c r="B8" s="2">
        <v>10.293799999999999</v>
      </c>
      <c r="C8" s="2">
        <f t="shared" si="2"/>
        <v>29123593619460.262</v>
      </c>
      <c r="D8" s="2">
        <f t="shared" si="3"/>
        <v>29.123593619460262</v>
      </c>
      <c r="E8" s="2">
        <v>4.9569590856300387E-233</v>
      </c>
      <c r="F8">
        <f t="shared" ref="F8:F71" si="10">sr_to_arcsec2(E8)</f>
        <v>1.1648854127144817E-243</v>
      </c>
      <c r="G8">
        <f t="shared" ref="G8:G71" si="11">Inu_to_MJy(E8)</f>
        <v>4.956959085630039E-213</v>
      </c>
      <c r="H8">
        <f t="shared" ref="H8:H71" si="12">Inu_to_Ilambda(E8,B8)</f>
        <v>1.4024409061588583E-220</v>
      </c>
      <c r="I8">
        <f t="shared" si="4"/>
        <v>3.2957362075359742E-231</v>
      </c>
      <c r="J8" s="2">
        <f>Inu_to_Nnu(E8,C8)</f>
        <v>2.5687056475267242E-213</v>
      </c>
      <c r="K8">
        <f t="shared" si="5"/>
        <v>6.0364584146670794E-224</v>
      </c>
      <c r="L8">
        <f t="shared" si="6"/>
        <v>7.2691068478439333E-201</v>
      </c>
      <c r="M8">
        <f t="shared" si="7"/>
        <v>1.7082401092433244E-211</v>
      </c>
      <c r="N8">
        <f t="shared" si="8"/>
        <v>7.7025141458562311E-211</v>
      </c>
      <c r="O8">
        <f t="shared" si="9"/>
        <v>1.9021869318337301E-220</v>
      </c>
      <c r="P8">
        <f t="shared" si="0"/>
        <v>2.7217217256084966E-223</v>
      </c>
    </row>
    <row r="9" spans="1:16">
      <c r="A9">
        <f t="shared" si="1"/>
        <v>1.19341E-5</v>
      </c>
      <c r="B9" s="2">
        <v>11.934100000000001</v>
      </c>
      <c r="C9" s="2">
        <f t="shared" si="2"/>
        <v>25120658281730.5</v>
      </c>
      <c r="D9" s="2">
        <f t="shared" si="3"/>
        <v>25.120658281730499</v>
      </c>
      <c r="E9" s="2">
        <v>1.3640154474826206E-202</v>
      </c>
      <c r="F9">
        <f t="shared" si="10"/>
        <v>3.205436377507978E-213</v>
      </c>
      <c r="G9">
        <f t="shared" si="11"/>
        <v>1.3640154474826206E-182</v>
      </c>
      <c r="H9">
        <f t="shared" si="12"/>
        <v>2.8711814001233967E-190</v>
      </c>
      <c r="I9">
        <f t="shared" si="4"/>
        <v>6.7472764501056639E-201</v>
      </c>
      <c r="J9" s="2">
        <f t="shared" ref="J9:J72" si="13">Inu_to_Nnu(E9,C9)</f>
        <v>8.1946845749671511E-183</v>
      </c>
      <c r="K9">
        <f t="shared" si="5"/>
        <v>1.9257509207305286E-193</v>
      </c>
      <c r="L9">
        <f t="shared" si="6"/>
        <v>1.725325576395399E-170</v>
      </c>
      <c r="M9">
        <f t="shared" si="7"/>
        <v>4.0545151045291874E-181</v>
      </c>
      <c r="N9">
        <f t="shared" si="8"/>
        <v>2.4572560083047692E-180</v>
      </c>
      <c r="O9">
        <f t="shared" si="9"/>
        <v>7.0353392025295584E-190</v>
      </c>
      <c r="P9">
        <f t="shared" si="0"/>
        <v>1.1670501379190212E-192</v>
      </c>
    </row>
    <row r="10" spans="1:16">
      <c r="A10">
        <f t="shared" si="1"/>
        <v>1.3242699999999999E-5</v>
      </c>
      <c r="B10" s="2">
        <v>13.242699999999999</v>
      </c>
      <c r="C10" s="2">
        <f t="shared" si="2"/>
        <v>22638317563638.836</v>
      </c>
      <c r="D10" s="2">
        <f t="shared" si="3"/>
        <v>22.638317563638836</v>
      </c>
      <c r="E10" s="2">
        <v>9.8909165440496595E-184</v>
      </c>
      <c r="F10">
        <f t="shared" si="10"/>
        <v>2.3243654429064833E-194</v>
      </c>
      <c r="G10">
        <f t="shared" si="11"/>
        <v>9.8909165440496592E-164</v>
      </c>
      <c r="H10">
        <f t="shared" si="12"/>
        <v>1.6908463509680456E-171</v>
      </c>
      <c r="I10">
        <f t="shared" si="4"/>
        <v>3.9734890188907862E-182</v>
      </c>
      <c r="J10" s="2">
        <f t="shared" si="13"/>
        <v>6.5938089301918725E-164</v>
      </c>
      <c r="K10">
        <f t="shared" si="5"/>
        <v>1.5495451352975451E-174</v>
      </c>
      <c r="L10">
        <f t="shared" si="6"/>
        <v>1.127460774016341E-151</v>
      </c>
      <c r="M10">
        <f t="shared" si="7"/>
        <v>2.6495328189384013E-162</v>
      </c>
      <c r="N10">
        <f t="shared" si="8"/>
        <v>1.9772178493389504E-161</v>
      </c>
      <c r="O10">
        <f t="shared" si="9"/>
        <v>6.2816831428695312E-171</v>
      </c>
      <c r="P10">
        <f t="shared" si="0"/>
        <v>1.1562915904494888E-173</v>
      </c>
    </row>
    <row r="11" spans="1:16">
      <c r="A11">
        <f t="shared" si="1"/>
        <v>1.4245799999999998E-5</v>
      </c>
      <c r="B11" s="2">
        <v>14.245799999999999</v>
      </c>
      <c r="C11" s="2">
        <f t="shared" si="2"/>
        <v>21044269047719.328</v>
      </c>
      <c r="D11" s="2">
        <f t="shared" si="3"/>
        <v>21.044269047719329</v>
      </c>
      <c r="E11" s="2">
        <v>1.2545140622446569E-171</v>
      </c>
      <c r="F11">
        <f t="shared" si="10"/>
        <v>2.9481081161036975E-182</v>
      </c>
      <c r="G11">
        <f t="shared" si="11"/>
        <v>1.2545140622446569E-151</v>
      </c>
      <c r="H11">
        <f t="shared" si="12"/>
        <v>1.8532010452220211E-159</v>
      </c>
      <c r="I11">
        <f t="shared" si="4"/>
        <v>4.3550225594246147E-170</v>
      </c>
      <c r="J11" s="2">
        <f t="shared" si="13"/>
        <v>8.996750091458817E-152</v>
      </c>
      <c r="K11">
        <f t="shared" si="5"/>
        <v>2.1142363215705267E-162</v>
      </c>
      <c r="L11">
        <f t="shared" si="6"/>
        <v>1.3293218252781401E-139</v>
      </c>
      <c r="M11">
        <f t="shared" si="7"/>
        <v>3.123906289403629E-150</v>
      </c>
      <c r="N11">
        <f t="shared" si="8"/>
        <v>2.6977631677229347E-149</v>
      </c>
      <c r="O11">
        <f t="shared" si="9"/>
        <v>9.2200999071537547E-159</v>
      </c>
      <c r="P11">
        <f t="shared" si="0"/>
        <v>1.8257330196769003E-161</v>
      </c>
    </row>
    <row r="12" spans="1:16">
      <c r="A12">
        <f t="shared" si="1"/>
        <v>1.47216E-5</v>
      </c>
      <c r="B12" s="2">
        <v>14.7216</v>
      </c>
      <c r="C12" s="2">
        <f t="shared" si="2"/>
        <v>20364121291164.004</v>
      </c>
      <c r="D12" s="2">
        <f t="shared" si="3"/>
        <v>20.364121291164004</v>
      </c>
      <c r="E12" s="2">
        <v>1.8216497531971711E-166</v>
      </c>
      <c r="F12">
        <f t="shared" si="10"/>
        <v>4.2808770214100097E-177</v>
      </c>
      <c r="G12">
        <f t="shared" si="11"/>
        <v>1.8216497531971711E-146</v>
      </c>
      <c r="H12">
        <f t="shared" si="12"/>
        <v>2.5198549426778451E-154</v>
      </c>
      <c r="I12">
        <f t="shared" si="4"/>
        <v>5.9216592555530858E-165</v>
      </c>
      <c r="J12" s="2">
        <f t="shared" si="13"/>
        <v>1.3500292338217768E-146</v>
      </c>
      <c r="K12">
        <f t="shared" si="5"/>
        <v>3.1725687746264941E-157</v>
      </c>
      <c r="L12">
        <f t="shared" si="6"/>
        <v>1.8678900566025258E-134</v>
      </c>
      <c r="M12">
        <f t="shared" si="7"/>
        <v>4.3895416330159358E-145</v>
      </c>
      <c r="N12">
        <f t="shared" si="8"/>
        <v>4.0481941871556949E-144</v>
      </c>
      <c r="O12">
        <f t="shared" si="9"/>
        <v>1.4297539775047909E-153</v>
      </c>
      <c r="P12">
        <f t="shared" si="0"/>
        <v>2.9257089955775997E-156</v>
      </c>
    </row>
    <row r="13" spans="1:16">
      <c r="A13">
        <f t="shared" si="1"/>
        <v>1.6365699999999998E-5</v>
      </c>
      <c r="B13" s="2">
        <v>16.3657</v>
      </c>
      <c r="C13" s="2">
        <f t="shared" si="2"/>
        <v>18318339453857.762</v>
      </c>
      <c r="D13" s="2">
        <f t="shared" si="3"/>
        <v>18.31833945385776</v>
      </c>
      <c r="E13" s="2">
        <v>5.994608594813405E-151</v>
      </c>
      <c r="F13">
        <f t="shared" si="10"/>
        <v>1.4087330531483368E-161</v>
      </c>
      <c r="G13">
        <f t="shared" si="11"/>
        <v>5.994608594813405E-131</v>
      </c>
      <c r="H13">
        <f t="shared" si="12"/>
        <v>6.7098428501564397E-139</v>
      </c>
      <c r="I13">
        <f t="shared" si="4"/>
        <v>1.5768131071350865E-149</v>
      </c>
      <c r="J13" s="2">
        <f t="shared" si="13"/>
        <v>4.9387688255603578E-131</v>
      </c>
      <c r="K13">
        <f t="shared" si="5"/>
        <v>1.1606107014968561E-141</v>
      </c>
      <c r="L13">
        <f t="shared" si="6"/>
        <v>5.5292686370999612E-119</v>
      </c>
      <c r="M13">
        <f t="shared" si="7"/>
        <v>1.2993781297184908E-129</v>
      </c>
      <c r="N13">
        <f t="shared" si="8"/>
        <v>1.4809379493761812E-128</v>
      </c>
      <c r="O13">
        <f t="shared" si="9"/>
        <v>5.8145540394383197E-138</v>
      </c>
      <c r="P13">
        <f t="shared" si="0"/>
        <v>1.3227135339009763E-140</v>
      </c>
    </row>
    <row r="14" spans="1:16">
      <c r="A14">
        <f t="shared" si="1"/>
        <v>1.8160199999999999E-5</v>
      </c>
      <c r="B14" s="2">
        <v>18.1602</v>
      </c>
      <c r="C14" s="2">
        <f t="shared" si="2"/>
        <v>16508212905144.217</v>
      </c>
      <c r="D14" s="2">
        <f t="shared" si="3"/>
        <v>16.508212905144216</v>
      </c>
      <c r="E14" s="2">
        <v>3.1195938116308212E-137</v>
      </c>
      <c r="F14">
        <f t="shared" si="10"/>
        <v>7.3310456309752412E-148</v>
      </c>
      <c r="G14">
        <f t="shared" si="11"/>
        <v>3.1195938116308213E-117</v>
      </c>
      <c r="H14">
        <f t="shared" si="12"/>
        <v>2.8358123159421129E-125</v>
      </c>
      <c r="I14">
        <f t="shared" si="4"/>
        <v>6.6641591003109327E-136</v>
      </c>
      <c r="J14" s="2">
        <f t="shared" si="13"/>
        <v>2.85195033025923E-117</v>
      </c>
      <c r="K14">
        <f t="shared" si="5"/>
        <v>6.7020834348544317E-128</v>
      </c>
      <c r="L14">
        <f t="shared" si="6"/>
        <v>2.5930976243691818E-105</v>
      </c>
      <c r="M14">
        <f t="shared" si="7"/>
        <v>6.0937794172675767E-116</v>
      </c>
      <c r="N14">
        <f t="shared" si="8"/>
        <v>8.5518509227603255E-115</v>
      </c>
      <c r="O14">
        <f t="shared" si="9"/>
        <v>3.7258529623278627E-124</v>
      </c>
      <c r="P14">
        <f t="shared" si="0"/>
        <v>9.4050506603388367E-127</v>
      </c>
    </row>
    <row r="15" spans="1:16">
      <c r="A15">
        <f t="shared" si="1"/>
        <v>1.9323000000000001E-5</v>
      </c>
      <c r="B15" s="2">
        <v>19.323</v>
      </c>
      <c r="C15" s="2">
        <f t="shared" si="2"/>
        <v>15514798323241.732</v>
      </c>
      <c r="D15" s="2">
        <f t="shared" si="3"/>
        <v>15.514798323241733</v>
      </c>
      <c r="E15" s="2">
        <v>1.0358277343162775E-129</v>
      </c>
      <c r="F15">
        <f t="shared" si="10"/>
        <v>2.4341952332994888E-140</v>
      </c>
      <c r="G15">
        <f t="shared" si="11"/>
        <v>1.0358277343162775E-109</v>
      </c>
      <c r="H15">
        <f t="shared" si="12"/>
        <v>8.316854730392519E-118</v>
      </c>
      <c r="I15">
        <f t="shared" si="4"/>
        <v>1.9544609079355135E-128</v>
      </c>
      <c r="J15" s="2">
        <f t="shared" si="13"/>
        <v>1.00759352788204E-109</v>
      </c>
      <c r="K15">
        <f t="shared" si="5"/>
        <v>2.3678448466074587E-120</v>
      </c>
      <c r="L15">
        <f t="shared" si="6"/>
        <v>8.0919730088305451E-98</v>
      </c>
      <c r="M15">
        <f t="shared" si="7"/>
        <v>1.9016136570751782E-108</v>
      </c>
      <c r="N15">
        <f t="shared" si="8"/>
        <v>3.021367360350252E-107</v>
      </c>
      <c r="O15">
        <f t="shared" si="9"/>
        <v>1.4006287938187524E-116</v>
      </c>
      <c r="P15">
        <f t="shared" si="0"/>
        <v>3.7619446754314054E-119</v>
      </c>
    </row>
    <row r="16" spans="1:16">
      <c r="A16">
        <f t="shared" si="1"/>
        <v>2.4858499999999999E-5</v>
      </c>
      <c r="B16" s="2">
        <v>24.858499999999999</v>
      </c>
      <c r="C16" s="2">
        <f t="shared" si="2"/>
        <v>12059957278194.582</v>
      </c>
      <c r="D16" s="2">
        <f t="shared" si="3"/>
        <v>12.059957278194581</v>
      </c>
      <c r="E16" s="2">
        <v>1.3337374764612936E-103</v>
      </c>
      <c r="F16">
        <f t="shared" si="10"/>
        <v>3.134283143922527E-114</v>
      </c>
      <c r="G16">
        <f t="shared" si="11"/>
        <v>1.3337374764612935E-83</v>
      </c>
      <c r="H16">
        <f t="shared" si="12"/>
        <v>6.47055010819247E-92</v>
      </c>
      <c r="I16">
        <f t="shared" si="4"/>
        <v>1.5205793114416025E-102</v>
      </c>
      <c r="J16" s="2">
        <f t="shared" si="13"/>
        <v>1.6690469514803295E-83</v>
      </c>
      <c r="K16">
        <f t="shared" si="5"/>
        <v>3.9222604288812553E-94</v>
      </c>
      <c r="L16">
        <f t="shared" si="6"/>
        <v>8.0991022086859262E-72</v>
      </c>
      <c r="M16">
        <f t="shared" si="7"/>
        <v>1.9032890190411927E-82</v>
      </c>
      <c r="N16">
        <f t="shared" si="8"/>
        <v>5.0047998945514486E-81</v>
      </c>
      <c r="O16">
        <f t="shared" si="9"/>
        <v>2.9847406480100954E-90</v>
      </c>
      <c r="P16">
        <f t="shared" si="0"/>
        <v>1.0313268380399693E-92</v>
      </c>
    </row>
    <row r="17" spans="1:16">
      <c r="A17">
        <f t="shared" si="1"/>
        <v>2.7533999999999998E-5</v>
      </c>
      <c r="B17" s="2">
        <v>27.533999999999999</v>
      </c>
      <c r="C17" s="2">
        <f t="shared" si="2"/>
        <v>10888081935062.105</v>
      </c>
      <c r="D17" s="2">
        <f t="shared" si="3"/>
        <v>10.888081935062106</v>
      </c>
      <c r="E17" s="2">
        <v>9.1117072760288371E-95</v>
      </c>
      <c r="F17">
        <f t="shared" si="10"/>
        <v>2.1412512605843561E-105</v>
      </c>
      <c r="G17">
        <f t="shared" si="11"/>
        <v>9.1117072760288376E-75</v>
      </c>
      <c r="H17">
        <f t="shared" si="12"/>
        <v>3.6031457612298802E-83</v>
      </c>
      <c r="I17">
        <f t="shared" si="4"/>
        <v>8.4673927394484954E-94</v>
      </c>
      <c r="J17" s="2">
        <f t="shared" si="13"/>
        <v>1.2629680014778517E-74</v>
      </c>
      <c r="K17">
        <f t="shared" si="5"/>
        <v>2.9679748737722685E-85</v>
      </c>
      <c r="L17">
        <f t="shared" si="6"/>
        <v>4.9954187003878908E-63</v>
      </c>
      <c r="M17">
        <f t="shared" si="7"/>
        <v>1.1739233945911543E-73</v>
      </c>
      <c r="N17">
        <f t="shared" si="8"/>
        <v>3.7871325998420847E-72</v>
      </c>
      <c r="O17">
        <f t="shared" si="9"/>
        <v>2.501639828339192E-81</v>
      </c>
      <c r="P17">
        <f t="shared" si="0"/>
        <v>9.574340993655292E-84</v>
      </c>
    </row>
    <row r="18" spans="1:16">
      <c r="A18">
        <f t="shared" si="1"/>
        <v>2.9782199999999998E-5</v>
      </c>
      <c r="B18" s="2">
        <v>29.7822</v>
      </c>
      <c r="C18" s="2">
        <f t="shared" si="2"/>
        <v>10066161935652.84</v>
      </c>
      <c r="D18" s="2">
        <f t="shared" si="3"/>
        <v>10.06616193565284</v>
      </c>
      <c r="E18" s="2">
        <v>1.4029287658194736E-88</v>
      </c>
      <c r="F18">
        <f t="shared" si="10"/>
        <v>3.2968826777655752E-99</v>
      </c>
      <c r="G18">
        <f t="shared" si="11"/>
        <v>1.4029287658194736E-68</v>
      </c>
      <c r="H18">
        <f t="shared" si="12"/>
        <v>4.7417948106333319E-77</v>
      </c>
      <c r="I18">
        <f t="shared" si="4"/>
        <v>1.1143218068926083E-87</v>
      </c>
      <c r="J18" s="2">
        <f t="shared" si="13"/>
        <v>2.1033700038959872E-68</v>
      </c>
      <c r="K18">
        <f t="shared" si="5"/>
        <v>4.9429196262333378E-79</v>
      </c>
      <c r="L18">
        <f t="shared" si="6"/>
        <v>7.1108298796195365E-57</v>
      </c>
      <c r="M18">
        <f t="shared" si="7"/>
        <v>1.6710450217105912E-67</v>
      </c>
      <c r="N18">
        <f t="shared" si="8"/>
        <v>6.3071598820899799E-66</v>
      </c>
      <c r="O18">
        <f t="shared" si="9"/>
        <v>4.5064606072864781E-75</v>
      </c>
      <c r="P18">
        <f t="shared" si="0"/>
        <v>1.86555112426675E-77</v>
      </c>
    </row>
    <row r="19" spans="1:16">
      <c r="A19">
        <f t="shared" si="1"/>
        <v>3.2272900000000001E-5</v>
      </c>
      <c r="B19" s="2">
        <v>32.2729</v>
      </c>
      <c r="C19" s="2">
        <f t="shared" si="2"/>
        <v>9289293741808.1426</v>
      </c>
      <c r="D19" s="2">
        <f t="shared" si="3"/>
        <v>9.2892937418081427</v>
      </c>
      <c r="E19" s="2">
        <v>9.7125604214572627E-83</v>
      </c>
      <c r="F19">
        <f t="shared" si="10"/>
        <v>2.2824517531045047E-93</v>
      </c>
      <c r="G19">
        <f t="shared" si="11"/>
        <v>9.7125604214572626E-63</v>
      </c>
      <c r="H19">
        <f t="shared" si="12"/>
        <v>2.795621922417149E-71</v>
      </c>
      <c r="I19">
        <f t="shared" si="4"/>
        <v>6.5697116732901898E-82</v>
      </c>
      <c r="J19" s="2">
        <f t="shared" si="13"/>
        <v>1.5779564250463998E-62</v>
      </c>
      <c r="K19">
        <f t="shared" si="5"/>
        <v>3.7081976866912401E-73</v>
      </c>
      <c r="L19">
        <f t="shared" si="6"/>
        <v>4.5429419305124065E-51</v>
      </c>
      <c r="M19">
        <f t="shared" si="7"/>
        <v>1.0675913536704154E-61</v>
      </c>
      <c r="N19">
        <f t="shared" si="8"/>
        <v>4.7316560763462014E-60</v>
      </c>
      <c r="O19">
        <f t="shared" si="9"/>
        <v>3.6634994064540998E-69</v>
      </c>
      <c r="P19">
        <f t="shared" si="0"/>
        <v>1.6434213249242798E-71</v>
      </c>
    </row>
    <row r="20" spans="1:16">
      <c r="A20">
        <f t="shared" si="1"/>
        <v>3.5551099999999999E-5</v>
      </c>
      <c r="B20" s="2">
        <v>35.551099999999998</v>
      </c>
      <c r="C20" s="2">
        <f t="shared" si="2"/>
        <v>8432719325140.4316</v>
      </c>
      <c r="D20" s="2">
        <f t="shared" si="3"/>
        <v>8.4327193251404307</v>
      </c>
      <c r="E20" s="2">
        <v>2.6072213042858261E-76</v>
      </c>
      <c r="F20">
        <f t="shared" si="10"/>
        <v>6.1269702101948271E-87</v>
      </c>
      <c r="G20">
        <f t="shared" si="11"/>
        <v>2.6072213042858259E-56</v>
      </c>
      <c r="H20">
        <f t="shared" si="12"/>
        <v>6.1843277641392056E-65</v>
      </c>
      <c r="I20">
        <f t="shared" si="4"/>
        <v>1.4533170589959147E-75</v>
      </c>
      <c r="J20" s="2">
        <f t="shared" si="13"/>
        <v>4.6661019060386733E-56</v>
      </c>
      <c r="K20">
        <f t="shared" si="5"/>
        <v>1.0965339738915417E-66</v>
      </c>
      <c r="L20">
        <f t="shared" si="6"/>
        <v>1.1070476071283448E-44</v>
      </c>
      <c r="M20">
        <f t="shared" si="7"/>
        <v>2.6015618767516104E-55</v>
      </c>
      <c r="N20">
        <f t="shared" si="8"/>
        <v>1.3991761170407009E-53</v>
      </c>
      <c r="O20">
        <f t="shared" si="9"/>
        <v>1.1933570124983116E-62</v>
      </c>
      <c r="P20">
        <f>0.000139*O20*B20</f>
        <v>5.8970964736969921E-65</v>
      </c>
    </row>
    <row r="21" spans="1:16">
      <c r="A21">
        <f t="shared" si="1"/>
        <v>3.8313899999999992E-5</v>
      </c>
      <c r="B21" s="2">
        <v>38.313899999999997</v>
      </c>
      <c r="C21" s="2">
        <f t="shared" si="2"/>
        <v>7824639308449.415</v>
      </c>
      <c r="D21" s="2">
        <f t="shared" si="3"/>
        <v>7.8246393084494148</v>
      </c>
      <c r="E21" s="2">
        <v>9.374914660065019E-72</v>
      </c>
      <c r="F21">
        <f t="shared" si="10"/>
        <v>2.2031049972979235E-82</v>
      </c>
      <c r="G21">
        <f t="shared" si="11"/>
        <v>9.3749146600650197E-52</v>
      </c>
      <c r="H21">
        <f t="shared" si="12"/>
        <v>1.9145878065794254E-60</v>
      </c>
      <c r="I21">
        <f t="shared" si="4"/>
        <v>4.499281452031424E-71</v>
      </c>
      <c r="J21" s="2">
        <f t="shared" si="13"/>
        <v>1.8082020807857357E-51</v>
      </c>
      <c r="K21">
        <f t="shared" si="5"/>
        <v>4.2492749904946116E-62</v>
      </c>
      <c r="L21">
        <f t="shared" si="6"/>
        <v>3.6936216396023886E-40</v>
      </c>
      <c r="M21">
        <f t="shared" si="7"/>
        <v>8.6800108530656133E-51</v>
      </c>
      <c r="N21">
        <f t="shared" si="8"/>
        <v>5.422070107265533E-49</v>
      </c>
      <c r="O21">
        <f t="shared" si="9"/>
        <v>4.9838671035892943E-58</v>
      </c>
      <c r="P21">
        <f t="shared" ref="P21:P84" si="14">0.000139*O21*B21</f>
        <v>2.6542242629009169E-60</v>
      </c>
    </row>
    <row r="22" spans="1:16">
      <c r="A22">
        <f t="shared" si="1"/>
        <v>3.9811100000000002E-5</v>
      </c>
      <c r="B22" s="2">
        <v>39.811100000000003</v>
      </c>
      <c r="C22" s="2">
        <f t="shared" si="2"/>
        <v>7530373388326.3711</v>
      </c>
      <c r="D22" s="2">
        <f t="shared" si="3"/>
        <v>7.530373388326371</v>
      </c>
      <c r="E22" s="2">
        <v>1.4923747249195403E-69</v>
      </c>
      <c r="F22">
        <f t="shared" si="10"/>
        <v>3.5070806866294724E-80</v>
      </c>
      <c r="G22">
        <f t="shared" si="11"/>
        <v>1.4923747249195402E-49</v>
      </c>
      <c r="H22">
        <f t="shared" si="12"/>
        <v>2.8228657118102721E-58</v>
      </c>
      <c r="I22">
        <f t="shared" si="4"/>
        <v>6.6337345798804726E-69</v>
      </c>
      <c r="J22" s="2">
        <f t="shared" si="13"/>
        <v>2.9909237607965067E-49</v>
      </c>
      <c r="K22">
        <f t="shared" si="5"/>
        <v>7.0286710043525703E-60</v>
      </c>
      <c r="L22">
        <f t="shared" si="6"/>
        <v>5.65868021850201E-38</v>
      </c>
      <c r="M22">
        <f t="shared" si="7"/>
        <v>1.3297898513479723E-48</v>
      </c>
      <c r="N22">
        <f t="shared" si="8"/>
        <v>8.9685762940157735E-47</v>
      </c>
      <c r="O22">
        <f t="shared" si="9"/>
        <v>8.5658930481209549E-56</v>
      </c>
      <c r="P22">
        <f t="shared" si="14"/>
        <v>4.7401449837198688E-58</v>
      </c>
    </row>
    <row r="23" spans="1:16">
      <c r="A23">
        <f t="shared" si="1"/>
        <v>5.0381199999999998E-5</v>
      </c>
      <c r="B23" s="2">
        <v>50.3812</v>
      </c>
      <c r="C23" s="2">
        <f t="shared" si="2"/>
        <v>5950482481560.582</v>
      </c>
      <c r="D23" s="2">
        <f t="shared" si="3"/>
        <v>5.9504824815605817</v>
      </c>
      <c r="E23" s="2">
        <v>9.0597134444023977E-58</v>
      </c>
      <c r="F23">
        <f t="shared" si="10"/>
        <v>2.1290327098627347E-68</v>
      </c>
      <c r="G23">
        <f t="shared" si="11"/>
        <v>9.0597134444023978E-38</v>
      </c>
      <c r="H23">
        <f t="shared" si="12"/>
        <v>1.0700353730930457E-46</v>
      </c>
      <c r="I23">
        <f t="shared" si="4"/>
        <v>2.5145831863289597E-57</v>
      </c>
      <c r="J23" s="2">
        <f t="shared" si="13"/>
        <v>2.2977683816510366E-37</v>
      </c>
      <c r="K23">
        <f t="shared" si="5"/>
        <v>5.3997558247783052E-48</v>
      </c>
      <c r="L23">
        <f t="shared" si="6"/>
        <v>2.7144846998426659E-26</v>
      </c>
      <c r="M23">
        <f t="shared" si="7"/>
        <v>6.3790390446302644E-37</v>
      </c>
      <c r="N23">
        <f t="shared" si="8"/>
        <v>6.8900823574742279E-35</v>
      </c>
      <c r="O23">
        <f t="shared" si="9"/>
        <v>8.3279456782916471E-44</v>
      </c>
      <c r="P23">
        <f t="shared" si="14"/>
        <v>5.8320493656193457E-46</v>
      </c>
    </row>
    <row r="24" spans="1:16">
      <c r="A24">
        <f t="shared" si="1"/>
        <v>5.6212599999999998E-5</v>
      </c>
      <c r="B24" s="2">
        <v>56.212600000000002</v>
      </c>
      <c r="C24" s="2">
        <f t="shared" si="2"/>
        <v>5333189498439.8516</v>
      </c>
      <c r="D24" s="2">
        <f t="shared" si="3"/>
        <v>5.3331894984398511</v>
      </c>
      <c r="E24" s="2">
        <v>3.4531868059354816E-53</v>
      </c>
      <c r="F24">
        <f t="shared" si="10"/>
        <v>8.1149891861596441E-64</v>
      </c>
      <c r="G24">
        <f t="shared" si="11"/>
        <v>3.4531868059354814E-33</v>
      </c>
      <c r="H24">
        <f t="shared" si="12"/>
        <v>3.2762226991041444E-42</v>
      </c>
      <c r="I24">
        <f t="shared" si="4"/>
        <v>7.6991235252558263E-53</v>
      </c>
      <c r="J24" s="2">
        <f t="shared" si="13"/>
        <v>9.7718552754162003E-33</v>
      </c>
      <c r="K24">
        <f t="shared" si="5"/>
        <v>2.2963860441149018E-43</v>
      </c>
      <c r="L24">
        <f t="shared" si="6"/>
        <v>9.2731619383515433E-22</v>
      </c>
      <c r="M24">
        <f t="shared" si="7"/>
        <v>2.1791930555126125E-32</v>
      </c>
      <c r="N24">
        <f t="shared" si="8"/>
        <v>2.9301860087637803E-30</v>
      </c>
      <c r="O24">
        <f t="shared" si="9"/>
        <v>3.9516077327208599E-39</v>
      </c>
      <c r="P24">
        <f t="shared" si="14"/>
        <v>3.0876090132251902E-41</v>
      </c>
    </row>
    <row r="25" spans="1:16">
      <c r="A25">
        <f t="shared" si="1"/>
        <v>6.0802599999999993E-5</v>
      </c>
      <c r="B25" s="2">
        <v>60.802599999999998</v>
      </c>
      <c r="C25" s="2">
        <f t="shared" si="2"/>
        <v>4930585994677.8594</v>
      </c>
      <c r="D25" s="2">
        <f t="shared" si="3"/>
        <v>4.930585994677859</v>
      </c>
      <c r="E25" s="2">
        <v>3.2874271681972144E-50</v>
      </c>
      <c r="F25">
        <f t="shared" si="10"/>
        <v>7.7254540282482048E-61</v>
      </c>
      <c r="G25">
        <f t="shared" si="11"/>
        <v>3.2874271681972146E-30</v>
      </c>
      <c r="H25">
        <f t="shared" si="12"/>
        <v>2.6658304667952822E-39</v>
      </c>
      <c r="I25">
        <f t="shared" si="4"/>
        <v>6.2647017453543521E-50</v>
      </c>
      <c r="J25" s="2">
        <f t="shared" si="13"/>
        <v>1.0062399849614121E-29</v>
      </c>
      <c r="K25">
        <f t="shared" si="5"/>
        <v>2.3646640206686421E-40</v>
      </c>
      <c r="L25">
        <f t="shared" si="6"/>
        <v>8.1616023937747637E-19</v>
      </c>
      <c r="M25">
        <f t="shared" si="7"/>
        <v>1.9179765625370693E-29</v>
      </c>
      <c r="N25">
        <f t="shared" si="8"/>
        <v>3.0173086300308782E-27</v>
      </c>
      <c r="O25">
        <f t="shared" si="9"/>
        <v>4.4013595591241263E-36</v>
      </c>
      <c r="P25">
        <f t="shared" si="14"/>
        <v>3.7198360557414484E-38</v>
      </c>
    </row>
    <row r="26" spans="1:16">
      <c r="A26">
        <f t="shared" si="1"/>
        <v>6.5288899999999998E-5</v>
      </c>
      <c r="B26" s="2">
        <v>65.288899999999998</v>
      </c>
      <c r="C26" s="2">
        <f t="shared" si="2"/>
        <v>4591782799220.082</v>
      </c>
      <c r="D26" s="2">
        <f t="shared" si="3"/>
        <v>4.5917827992200824</v>
      </c>
      <c r="E26" s="2">
        <v>1.0393878462453952E-47</v>
      </c>
      <c r="F26">
        <f t="shared" si="10"/>
        <v>2.4425614965310785E-58</v>
      </c>
      <c r="G26">
        <f t="shared" si="11"/>
        <v>1.0393878462453953E-27</v>
      </c>
      <c r="H26">
        <f t="shared" si="12"/>
        <v>7.3100377462447896E-37</v>
      </c>
      <c r="I26">
        <f t="shared" si="4"/>
        <v>1.7178589110566532E-47</v>
      </c>
      <c r="J26" s="2">
        <f t="shared" si="13"/>
        <v>3.4161762265725277E-27</v>
      </c>
      <c r="K26">
        <f t="shared" si="5"/>
        <v>8.02801432259662E-38</v>
      </c>
      <c r="L26">
        <f t="shared" si="6"/>
        <v>2.4031436224108831E-16</v>
      </c>
      <c r="M26">
        <f t="shared" si="7"/>
        <v>5.6473875126655752E-27</v>
      </c>
      <c r="N26">
        <f t="shared" si="8"/>
        <v>1.0243737243793683E-24</v>
      </c>
      <c r="O26">
        <f t="shared" si="9"/>
        <v>1.604511169892806E-33</v>
      </c>
      <c r="P26">
        <f t="shared" si="14"/>
        <v>1.4561190935482005E-35</v>
      </c>
    </row>
    <row r="27" spans="1:16">
      <c r="A27">
        <f t="shared" si="1"/>
        <v>7.04912E-5</v>
      </c>
      <c r="B27" s="2">
        <v>70.491200000000006</v>
      </c>
      <c r="C27" s="2">
        <f t="shared" si="2"/>
        <v>4252906008125.8364</v>
      </c>
      <c r="D27" s="2">
        <f t="shared" si="3"/>
        <v>4.2529060081258363</v>
      </c>
      <c r="E27" s="2">
        <v>3.2368849340112065E-45</v>
      </c>
      <c r="F27">
        <f t="shared" si="10"/>
        <v>7.6066797750978042E-56</v>
      </c>
      <c r="G27">
        <f t="shared" si="11"/>
        <v>3.2368849340112065E-25</v>
      </c>
      <c r="H27">
        <f t="shared" si="12"/>
        <v>1.9528916210063467E-34</v>
      </c>
      <c r="I27">
        <f t="shared" si="4"/>
        <v>4.589295418066756E-45</v>
      </c>
      <c r="J27" s="2">
        <f t="shared" si="13"/>
        <v>1.1486439918117556E-24</v>
      </c>
      <c r="K27">
        <f t="shared" si="5"/>
        <v>2.6993134446934404E-35</v>
      </c>
      <c r="L27">
        <f t="shared" si="6"/>
        <v>6.9316049262176521E-14</v>
      </c>
      <c r="M27">
        <f t="shared" si="7"/>
        <v>1.6289271576611481E-24</v>
      </c>
      <c r="N27">
        <f t="shared" si="8"/>
        <v>3.444320918592432E-22</v>
      </c>
      <c r="O27">
        <f t="shared" si="9"/>
        <v>5.8248329693196408E-31</v>
      </c>
      <c r="P27">
        <f t="shared" si="14"/>
        <v>5.7073325747159748E-33</v>
      </c>
    </row>
    <row r="28" spans="1:16">
      <c r="A28">
        <f t="shared" si="1"/>
        <v>7.4187700000000008E-5</v>
      </c>
      <c r="B28" s="2">
        <v>74.187700000000007</v>
      </c>
      <c r="C28" s="2">
        <f t="shared" si="2"/>
        <v>4040999357036.2739</v>
      </c>
      <c r="D28" s="2">
        <f t="shared" si="3"/>
        <v>4.0409993570362737</v>
      </c>
      <c r="E28" s="2">
        <v>1.1618241985540627E-43</v>
      </c>
      <c r="F28">
        <f t="shared" si="10"/>
        <v>2.7302869312714985E-54</v>
      </c>
      <c r="G28">
        <f t="shared" si="11"/>
        <v>1.1618241985540626E-23</v>
      </c>
      <c r="H28">
        <f t="shared" si="12"/>
        <v>6.3284491086071563E-33</v>
      </c>
      <c r="I28">
        <f t="shared" si="4"/>
        <v>1.4871855757480913E-43</v>
      </c>
      <c r="J28" s="2">
        <f t="shared" si="13"/>
        <v>4.3390594960464693E-23</v>
      </c>
      <c r="K28">
        <f t="shared" si="5"/>
        <v>1.0196790057229905E-33</v>
      </c>
      <c r="L28">
        <f t="shared" si="6"/>
        <v>2.3640135142729867E-12</v>
      </c>
      <c r="M28">
        <f t="shared" si="7"/>
        <v>5.5554317585415191E-23</v>
      </c>
      <c r="N28">
        <f t="shared" si="8"/>
        <v>1.3011092641225662E-20</v>
      </c>
      <c r="O28">
        <f t="shared" si="9"/>
        <v>2.3157444898259664E-29</v>
      </c>
      <c r="P28">
        <f t="shared" si="14"/>
        <v>2.3880166290812798E-31</v>
      </c>
    </row>
    <row r="29" spans="1:16">
      <c r="A29">
        <f t="shared" si="1"/>
        <v>8.1574600000000003E-5</v>
      </c>
      <c r="B29" s="2">
        <v>81.574600000000004</v>
      </c>
      <c r="C29" s="2">
        <f t="shared" si="2"/>
        <v>3675071014752.1406</v>
      </c>
      <c r="D29" s="2">
        <f t="shared" si="3"/>
        <v>3.6750710147521404</v>
      </c>
      <c r="E29" s="2">
        <v>5.5171919488810765E-41</v>
      </c>
      <c r="F29">
        <f t="shared" si="10"/>
        <v>1.2965401386968434E-51</v>
      </c>
      <c r="G29">
        <f t="shared" si="11"/>
        <v>5.5171919488810762E-21</v>
      </c>
      <c r="H29">
        <f t="shared" si="12"/>
        <v>2.4855864710530877E-30</v>
      </c>
      <c r="I29">
        <f t="shared" si="4"/>
        <v>5.8411283453274545E-41</v>
      </c>
      <c r="J29" s="2">
        <f t="shared" si="13"/>
        <v>2.2656682929716416E-20</v>
      </c>
      <c r="K29">
        <f t="shared" si="5"/>
        <v>5.3243206145949723E-31</v>
      </c>
      <c r="L29">
        <f t="shared" si="6"/>
        <v>1.0209502625456556E-9</v>
      </c>
      <c r="M29">
        <f t="shared" si="7"/>
        <v>2.3992331169822906E-20</v>
      </c>
      <c r="N29">
        <f t="shared" si="8"/>
        <v>6.7938271141479472E-18</v>
      </c>
      <c r="O29">
        <f t="shared" si="9"/>
        <v>1.3295797958371368E-26</v>
      </c>
      <c r="P29">
        <f t="shared" si="14"/>
        <v>1.5075931661875959E-28</v>
      </c>
    </row>
    <row r="30" spans="1:16">
      <c r="A30">
        <f t="shared" si="1"/>
        <v>8.2623599999999986E-5</v>
      </c>
      <c r="B30" s="2">
        <v>82.623599999999996</v>
      </c>
      <c r="C30" s="2">
        <f t="shared" si="2"/>
        <v>3628411833907.0195</v>
      </c>
      <c r="D30" s="2">
        <f t="shared" si="3"/>
        <v>3.6284118339070193</v>
      </c>
      <c r="E30" s="2">
        <v>1.2081683785638771E-40</v>
      </c>
      <c r="F30">
        <f t="shared" si="10"/>
        <v>2.8391957568741717E-51</v>
      </c>
      <c r="G30">
        <f t="shared" si="11"/>
        <v>1.208168378563877E-20</v>
      </c>
      <c r="H30">
        <f t="shared" si="12"/>
        <v>5.3056662286966778E-30</v>
      </c>
      <c r="I30">
        <f t="shared" si="4"/>
        <v>1.2468315932761154E-40</v>
      </c>
      <c r="J30" s="2">
        <f t="shared" si="13"/>
        <v>5.0252174446691065E-20</v>
      </c>
      <c r="K30">
        <f t="shared" si="5"/>
        <v>1.1809261274686022E-30</v>
      </c>
      <c r="L30">
        <f t="shared" si="6"/>
        <v>2.2073174431688958E-9</v>
      </c>
      <c r="M30">
        <f t="shared" si="7"/>
        <v>5.187195991446905E-20</v>
      </c>
      <c r="N30">
        <f t="shared" si="8"/>
        <v>1.5068604100604566E-17</v>
      </c>
      <c r="O30">
        <f t="shared" si="9"/>
        <v>2.9869097437192204E-26</v>
      </c>
      <c r="P30">
        <f t="shared" si="14"/>
        <v>3.4303703790261151E-28</v>
      </c>
    </row>
    <row r="31" spans="1:16">
      <c r="A31">
        <f t="shared" si="1"/>
        <v>8.6009100000000003E-5</v>
      </c>
      <c r="B31" s="2">
        <v>86.009100000000004</v>
      </c>
      <c r="C31" s="2">
        <f t="shared" si="2"/>
        <v>3485589873629.6509</v>
      </c>
      <c r="D31" s="2">
        <f t="shared" si="3"/>
        <v>3.4855898736296509</v>
      </c>
      <c r="E31" s="2">
        <v>1.3266119627319607E-39</v>
      </c>
      <c r="F31">
        <f t="shared" si="10"/>
        <v>3.1175381862619743E-50</v>
      </c>
      <c r="G31">
        <f t="shared" si="11"/>
        <v>1.3266119627319607E-19</v>
      </c>
      <c r="H31">
        <f t="shared" si="12"/>
        <v>5.3762046382702268E-29</v>
      </c>
      <c r="I31">
        <f t="shared" si="4"/>
        <v>1.2634081199185302E-39</v>
      </c>
      <c r="J31" s="2">
        <f t="shared" si="13"/>
        <v>5.7439624577279149E-19</v>
      </c>
      <c r="K31">
        <f t="shared" si="5"/>
        <v>1.3498312095381004E-29</v>
      </c>
      <c r="L31">
        <f t="shared" si="6"/>
        <v>2.3283107872781857E-8</v>
      </c>
      <c r="M31">
        <f t="shared" si="7"/>
        <v>5.4715303501037362E-19</v>
      </c>
      <c r="N31">
        <f t="shared" si="8"/>
        <v>1.7223831047561126E-16</v>
      </c>
      <c r="O31">
        <f t="shared" si="9"/>
        <v>3.5540139086747924E-25</v>
      </c>
      <c r="P31">
        <f t="shared" si="14"/>
        <v>4.2489177736491553E-27</v>
      </c>
    </row>
    <row r="32" spans="1:16">
      <c r="A32">
        <f t="shared" si="1"/>
        <v>8.83966E-5</v>
      </c>
      <c r="B32" s="2">
        <v>88.396600000000007</v>
      </c>
      <c r="C32" s="2">
        <f t="shared" si="2"/>
        <v>3391447725365.0024</v>
      </c>
      <c r="D32" s="2">
        <f t="shared" si="3"/>
        <v>3.3914477253650022</v>
      </c>
      <c r="E32" s="2">
        <v>6.4193066846206677E-39</v>
      </c>
      <c r="F32">
        <f t="shared" si="10"/>
        <v>1.5085371066169978E-49</v>
      </c>
      <c r="G32">
        <f t="shared" si="11"/>
        <v>6.4193066846206672E-19</v>
      </c>
      <c r="H32">
        <f t="shared" si="12"/>
        <v>2.462848464078609E-28</v>
      </c>
      <c r="I32">
        <f t="shared" si="4"/>
        <v>5.787694027671787E-39</v>
      </c>
      <c r="J32" s="2">
        <f t="shared" si="13"/>
        <v>2.8565837811100484E-18</v>
      </c>
      <c r="K32">
        <f t="shared" si="5"/>
        <v>6.7129720446117619E-29</v>
      </c>
      <c r="L32">
        <f t="shared" si="6"/>
        <v>1.0962106270884752E-7</v>
      </c>
      <c r="M32">
        <f t="shared" si="7"/>
        <v>2.5760949736579166E-18</v>
      </c>
      <c r="N32">
        <f t="shared" si="8"/>
        <v>8.5657447765605534E-16</v>
      </c>
      <c r="O32">
        <f t="shared" si="9"/>
        <v>1.8165428812689861E-24</v>
      </c>
      <c r="P32">
        <f t="shared" si="14"/>
        <v>2.2320093809715107E-26</v>
      </c>
    </row>
    <row r="33" spans="1:16">
      <c r="A33">
        <f t="shared" si="1"/>
        <v>9.1016399999999998E-5</v>
      </c>
      <c r="B33" s="2">
        <v>91.016400000000004</v>
      </c>
      <c r="C33" s="2">
        <f t="shared" si="2"/>
        <v>3293828892375.4399</v>
      </c>
      <c r="D33" s="2">
        <f t="shared" si="3"/>
        <v>3.2938288923754397</v>
      </c>
      <c r="E33" s="2">
        <v>3.2844199183738715E-38</v>
      </c>
      <c r="F33">
        <f t="shared" si="10"/>
        <v>7.7183869909959599E-49</v>
      </c>
      <c r="G33">
        <f t="shared" si="11"/>
        <v>3.2844199183738715E-18</v>
      </c>
      <c r="H33">
        <f t="shared" si="12"/>
        <v>1.1886118569656943E-27</v>
      </c>
      <c r="I33">
        <f t="shared" si="4"/>
        <v>2.7932379300298873E-38</v>
      </c>
      <c r="J33" s="2">
        <f t="shared" si="13"/>
        <v>1.5048791018647303E-17</v>
      </c>
      <c r="K33">
        <f t="shared" si="5"/>
        <v>3.5364659731466875E-28</v>
      </c>
      <c r="L33">
        <f t="shared" si="6"/>
        <v>5.4472896383853179E-7</v>
      </c>
      <c r="M33">
        <f t="shared" si="7"/>
        <v>1.2801130650205497E-17</v>
      </c>
      <c r="N33">
        <f t="shared" si="8"/>
        <v>4.5125266030684486E-15</v>
      </c>
      <c r="O33">
        <f t="shared" si="9"/>
        <v>9.8533609469229605E-24</v>
      </c>
      <c r="P33">
        <f t="shared" si="14"/>
        <v>1.2465762433924314E-25</v>
      </c>
    </row>
    <row r="34" spans="1:16">
      <c r="A34">
        <f t="shared" si="1"/>
        <v>9.5440199999999995E-5</v>
      </c>
      <c r="B34" s="2">
        <v>95.440200000000004</v>
      </c>
      <c r="C34" s="2">
        <f t="shared" si="2"/>
        <v>3141154859273.1362</v>
      </c>
      <c r="D34" s="2">
        <f t="shared" si="3"/>
        <v>3.141154859273136</v>
      </c>
      <c r="E34" s="2">
        <v>4.1971392931365994E-37</v>
      </c>
      <c r="F34">
        <f t="shared" si="10"/>
        <v>9.8632775724921494E-48</v>
      </c>
      <c r="G34">
        <f t="shared" si="11"/>
        <v>4.1971392931365995E-17</v>
      </c>
      <c r="H34">
        <f t="shared" si="12"/>
        <v>1.3813743564747609E-26</v>
      </c>
      <c r="I34">
        <f t="shared" si="4"/>
        <v>3.246229814605739E-37</v>
      </c>
      <c r="J34" s="2">
        <f t="shared" si="13"/>
        <v>2.016545398191652E-16</v>
      </c>
      <c r="K34">
        <f t="shared" si="5"/>
        <v>4.7388817979953195E-27</v>
      </c>
      <c r="L34">
        <f t="shared" si="6"/>
        <v>6.6384010501924705E-6</v>
      </c>
      <c r="M34">
        <f t="shared" si="7"/>
        <v>1.5600242467952307E-16</v>
      </c>
      <c r="N34">
        <f t="shared" si="8"/>
        <v>6.0468078428090477E-14</v>
      </c>
      <c r="O34">
        <f t="shared" si="9"/>
        <v>1.3845303222436201E-22</v>
      </c>
      <c r="P34">
        <f t="shared" si="14"/>
        <v>1.836743926967838E-24</v>
      </c>
    </row>
    <row r="35" spans="1:16">
      <c r="A35">
        <f t="shared" si="1"/>
        <v>9.9169700000000007E-5</v>
      </c>
      <c r="B35" s="2">
        <v>99.169700000000006</v>
      </c>
      <c r="C35" s="2">
        <f t="shared" si="2"/>
        <v>3023024653699.668</v>
      </c>
      <c r="D35" s="2">
        <f t="shared" si="3"/>
        <v>3.0230246536996681</v>
      </c>
      <c r="E35" s="2">
        <v>2.9991307832568215E-36</v>
      </c>
      <c r="F35">
        <f t="shared" si="10"/>
        <v>7.0479575075911299E-47</v>
      </c>
      <c r="G35">
        <f t="shared" si="11"/>
        <v>2.9991307832568214E-16</v>
      </c>
      <c r="H35">
        <f t="shared" si="12"/>
        <v>9.1423552732890866E-26</v>
      </c>
      <c r="I35">
        <f t="shared" si="4"/>
        <v>2.1484535401111075E-36</v>
      </c>
      <c r="J35" s="2">
        <f t="shared" si="13"/>
        <v>1.4972615921257043E-15</v>
      </c>
      <c r="K35">
        <f t="shared" si="5"/>
        <v>3.5185648248359709E-26</v>
      </c>
      <c r="L35">
        <f t="shared" si="6"/>
        <v>4.5651794045593994E-5</v>
      </c>
      <c r="M35">
        <f t="shared" si="7"/>
        <v>1.0728171600714588E-15</v>
      </c>
      <c r="N35">
        <f t="shared" si="8"/>
        <v>4.4896847579634878E-13</v>
      </c>
      <c r="O35">
        <f t="shared" si="9"/>
        <v>1.0681686086279484E-21</v>
      </c>
      <c r="P35">
        <f t="shared" si="14"/>
        <v>1.4724264504920095E-23</v>
      </c>
    </row>
    <row r="36" spans="1:16">
      <c r="A36">
        <f t="shared" si="1"/>
        <v>1.0192299999999999E-4</v>
      </c>
      <c r="B36" s="2">
        <v>101.923</v>
      </c>
      <c r="C36" s="2">
        <f t="shared" si="2"/>
        <v>2941362087065.7261</v>
      </c>
      <c r="D36" s="2">
        <f t="shared" si="3"/>
        <v>2.941362087065726</v>
      </c>
      <c r="E36" s="2">
        <v>1.1647539044017013E-35</v>
      </c>
      <c r="F36">
        <f t="shared" si="10"/>
        <v>2.7371717401765225E-46</v>
      </c>
      <c r="G36">
        <f t="shared" si="11"/>
        <v>1.1647539044017014E-15</v>
      </c>
      <c r="H36">
        <f t="shared" si="12"/>
        <v>3.361324701165528E-25</v>
      </c>
      <c r="I36">
        <f t="shared" si="4"/>
        <v>7.8991132348370253E-36</v>
      </c>
      <c r="J36" s="2">
        <f t="shared" si="13"/>
        <v>5.9762623390431316E-15</v>
      </c>
      <c r="K36">
        <f t="shared" si="5"/>
        <v>1.4044216829402037E-25</v>
      </c>
      <c r="L36">
        <f t="shared" si="6"/>
        <v>1.7250568857849651E-4</v>
      </c>
      <c r="M36">
        <f t="shared" si="7"/>
        <v>4.0538836815946678E-15</v>
      </c>
      <c r="N36">
        <f t="shared" si="8"/>
        <v>1.7920404874007141E-12</v>
      </c>
      <c r="O36">
        <f t="shared" si="9"/>
        <v>4.381925390657408E-21</v>
      </c>
      <c r="P36">
        <f t="shared" si="14"/>
        <v>6.2080038441284521E-23</v>
      </c>
    </row>
    <row r="37" spans="1:16">
      <c r="A37">
        <f t="shared" si="1"/>
        <v>1.0746299999999998E-4</v>
      </c>
      <c r="B37" s="2">
        <v>107.46299999999999</v>
      </c>
      <c r="C37" s="2">
        <f t="shared" si="2"/>
        <v>2789727143295.832</v>
      </c>
      <c r="D37" s="2">
        <f t="shared" si="3"/>
        <v>2.7897271432958322</v>
      </c>
      <c r="E37" s="2">
        <v>1.4376463958893776E-34</v>
      </c>
      <c r="F37">
        <f t="shared" si="10"/>
        <v>3.3784691103623024E-45</v>
      </c>
      <c r="G37">
        <f t="shared" si="11"/>
        <v>1.4376463958893777E-14</v>
      </c>
      <c r="H37">
        <f t="shared" si="12"/>
        <v>3.7321135396127252E-24</v>
      </c>
      <c r="I37">
        <f t="shared" si="4"/>
        <v>8.770467025826785E-35</v>
      </c>
      <c r="J37" s="2">
        <f t="shared" si="13"/>
        <v>7.7773979377562413E-14</v>
      </c>
      <c r="K37">
        <f t="shared" si="5"/>
        <v>1.8276885586632641E-24</v>
      </c>
      <c r="L37">
        <f t="shared" si="6"/>
        <v>2.0194567840251874E-3</v>
      </c>
      <c r="M37">
        <f t="shared" si="7"/>
        <v>4.7457234424591906E-14</v>
      </c>
      <c r="N37">
        <f t="shared" si="8"/>
        <v>2.3321285446310481E-11</v>
      </c>
      <c r="O37">
        <f t="shared" si="9"/>
        <v>6.0125182576999809E-20</v>
      </c>
      <c r="P37">
        <f t="shared" si="14"/>
        <v>8.9811131684282607E-22</v>
      </c>
    </row>
    <row r="38" spans="1:16">
      <c r="A38">
        <f t="shared" si="1"/>
        <v>1.15182E-4</v>
      </c>
      <c r="B38" s="2">
        <v>115.182</v>
      </c>
      <c r="C38" s="2">
        <f t="shared" si="2"/>
        <v>2602771683075.4805</v>
      </c>
      <c r="D38" s="2">
        <f t="shared" si="3"/>
        <v>2.6027716830754803</v>
      </c>
      <c r="E38" s="2">
        <v>3.1473253917206388E-33</v>
      </c>
      <c r="F38">
        <f t="shared" si="10"/>
        <v>7.3962148457299071E-44</v>
      </c>
      <c r="G38">
        <f t="shared" si="11"/>
        <v>3.1473253917206388E-13</v>
      </c>
      <c r="H38">
        <f t="shared" si="12"/>
        <v>7.1120221970402686E-23</v>
      </c>
      <c r="I38">
        <f t="shared" si="4"/>
        <v>1.6713252558913966E-33</v>
      </c>
      <c r="J38" s="2">
        <f t="shared" si="13"/>
        <v>1.8249439947902052E-12</v>
      </c>
      <c r="K38">
        <f t="shared" si="5"/>
        <v>4.2886184893370034E-23</v>
      </c>
      <c r="L38">
        <f t="shared" si="6"/>
        <v>4.1247580095644117E-2</v>
      </c>
      <c r="M38">
        <f t="shared" si="7"/>
        <v>9.6931813224763665E-13</v>
      </c>
      <c r="N38">
        <f t="shared" si="8"/>
        <v>5.4722723675254019E-10</v>
      </c>
      <c r="O38">
        <f t="shared" si="9"/>
        <v>1.5121583901481233E-18</v>
      </c>
      <c r="P38">
        <f t="shared" si="14"/>
        <v>2.421010644947172E-20</v>
      </c>
    </row>
    <row r="39" spans="1:16">
      <c r="A39">
        <f t="shared" si="1"/>
        <v>1.2012099999999998E-4</v>
      </c>
      <c r="B39" s="2">
        <v>120.121</v>
      </c>
      <c r="C39" s="2">
        <f t="shared" si="2"/>
        <v>2495753848203.062</v>
      </c>
      <c r="D39" s="2">
        <f t="shared" si="3"/>
        <v>2.4957538482030621</v>
      </c>
      <c r="E39" s="2">
        <v>1.8288869350172314E-32</v>
      </c>
      <c r="F39">
        <f t="shared" si="10"/>
        <v>4.2978843990899872E-43</v>
      </c>
      <c r="G39">
        <f t="shared" si="11"/>
        <v>1.8288869350172313E-12</v>
      </c>
      <c r="H39">
        <f t="shared" si="12"/>
        <v>3.7998781278856809E-22</v>
      </c>
      <c r="I39">
        <f t="shared" si="4"/>
        <v>8.9297138120401432E-33</v>
      </c>
      <c r="J39" s="2">
        <f t="shared" si="13"/>
        <v>1.1059336609208066E-11</v>
      </c>
      <c r="K39">
        <f t="shared" si="5"/>
        <v>2.5989441647223681E-22</v>
      </c>
      <c r="L39">
        <f t="shared" si="6"/>
        <v>0.22983140010058198</v>
      </c>
      <c r="M39">
        <f t="shared" si="7"/>
        <v>5.401037902363676E-12</v>
      </c>
      <c r="N39">
        <f t="shared" si="8"/>
        <v>3.3162498302688294E-9</v>
      </c>
      <c r="O39">
        <f t="shared" si="9"/>
        <v>9.5567701936570205E-18</v>
      </c>
      <c r="P39">
        <f t="shared" si="14"/>
        <v>1.5956766214808621E-19</v>
      </c>
    </row>
    <row r="40" spans="1:16">
      <c r="A40">
        <f t="shared" si="1"/>
        <v>1.2390699999999998E-4</v>
      </c>
      <c r="B40" s="2">
        <v>123.907</v>
      </c>
      <c r="C40" s="2">
        <f t="shared" si="2"/>
        <v>2419495653998.5635</v>
      </c>
      <c r="D40" s="2">
        <f t="shared" si="3"/>
        <v>2.4194956539985633</v>
      </c>
      <c r="E40" s="2">
        <v>6.3873078400252895E-32</v>
      </c>
      <c r="F40">
        <f t="shared" si="10"/>
        <v>1.5010173779589719E-42</v>
      </c>
      <c r="G40">
        <f t="shared" si="11"/>
        <v>6.3873078400252892E-12</v>
      </c>
      <c r="H40">
        <f t="shared" si="12"/>
        <v>1.2472308715159065E-21</v>
      </c>
      <c r="I40">
        <f t="shared" si="4"/>
        <v>2.9309926174857371E-32</v>
      </c>
      <c r="J40" s="2">
        <f t="shared" si="13"/>
        <v>3.9841618268726106E-11</v>
      </c>
      <c r="K40">
        <f t="shared" si="5"/>
        <v>9.3627805149170252E-22</v>
      </c>
      <c r="L40">
        <f t="shared" si="6"/>
        <v>0.77815022959174929</v>
      </c>
      <c r="M40">
        <f t="shared" si="7"/>
        <v>1.8286530395406107E-11</v>
      </c>
      <c r="N40">
        <f t="shared" si="8"/>
        <v>1.1946897403528764E-8</v>
      </c>
      <c r="O40">
        <f t="shared" si="9"/>
        <v>3.5513701441913214E-17</v>
      </c>
      <c r="P40">
        <f t="shared" si="14"/>
        <v>6.1165507243427644E-19</v>
      </c>
    </row>
    <row r="41" spans="1:16">
      <c r="A41">
        <f t="shared" si="1"/>
        <v>1.2992900000000001E-4</v>
      </c>
      <c r="B41" s="2">
        <v>129.929</v>
      </c>
      <c r="C41" s="2">
        <f t="shared" si="2"/>
        <v>2307355925159.1255</v>
      </c>
      <c r="D41" s="2">
        <f t="shared" si="3"/>
        <v>2.3073559251591256</v>
      </c>
      <c r="E41" s="2">
        <v>3.9960442207690968E-31</v>
      </c>
      <c r="F41">
        <f t="shared" si="10"/>
        <v>9.3907041412351663E-42</v>
      </c>
      <c r="G41">
        <f t="shared" si="11"/>
        <v>3.996044220769097E-11</v>
      </c>
      <c r="H41">
        <f t="shared" si="12"/>
        <v>7.0964113554244666E-21</v>
      </c>
      <c r="I41">
        <f t="shared" si="4"/>
        <v>1.6676567080247902E-31</v>
      </c>
      <c r="J41" s="2">
        <f t="shared" si="13"/>
        <v>2.6137236148237757E-10</v>
      </c>
      <c r="K41">
        <f t="shared" si="5"/>
        <v>6.1422506403209406E-21</v>
      </c>
      <c r="L41">
        <f t="shared" si="6"/>
        <v>4.642646681767097</v>
      </c>
      <c r="M41">
        <f t="shared" si="7"/>
        <v>1.0910219702152678E-10</v>
      </c>
      <c r="N41">
        <f t="shared" si="8"/>
        <v>7.8375049067700463E-8</v>
      </c>
      <c r="O41">
        <f t="shared" si="9"/>
        <v>2.4430304764129607E-16</v>
      </c>
      <c r="P41">
        <f t="shared" si="14"/>
        <v>4.412145044101048E-18</v>
      </c>
    </row>
    <row r="42" spans="1:16">
      <c r="A42">
        <f t="shared" si="1"/>
        <v>1.4391300000000002E-4</v>
      </c>
      <c r="B42" s="2">
        <v>143.91300000000001</v>
      </c>
      <c r="C42" s="2">
        <f t="shared" si="2"/>
        <v>2083150570136.1238</v>
      </c>
      <c r="D42" s="2">
        <f t="shared" si="3"/>
        <v>2.0831505701361239</v>
      </c>
      <c r="E42" s="2">
        <v>1.5281564736880402E-29</v>
      </c>
      <c r="F42">
        <f t="shared" si="10"/>
        <v>3.5911677982271304E-40</v>
      </c>
      <c r="G42">
        <f t="shared" si="11"/>
        <v>1.5281564736880402E-9</v>
      </c>
      <c r="H42">
        <f t="shared" si="12"/>
        <v>2.2120170029256905E-19</v>
      </c>
      <c r="I42">
        <f t="shared" si="4"/>
        <v>5.1982400800006493E-30</v>
      </c>
      <c r="J42" s="2">
        <f t="shared" si="13"/>
        <v>1.1071109146708272E-8</v>
      </c>
      <c r="K42">
        <f t="shared" si="5"/>
        <v>2.6017107111004449E-19</v>
      </c>
      <c r="L42">
        <f t="shared" si="6"/>
        <v>160.29103874221798</v>
      </c>
      <c r="M42">
        <f t="shared" si="7"/>
        <v>3.7668394104421221E-9</v>
      </c>
      <c r="N42">
        <f t="shared" si="8"/>
        <v>3.3197799403347801E-6</v>
      </c>
      <c r="O42">
        <f t="shared" si="9"/>
        <v>1.1461838531923171E-14</v>
      </c>
      <c r="P42">
        <f t="shared" si="14"/>
        <v>2.2928155204160769E-16</v>
      </c>
    </row>
    <row r="43" spans="1:16">
      <c r="A43">
        <f t="shared" si="1"/>
        <v>1.59693E-4</v>
      </c>
      <c r="B43" s="2">
        <v>159.69300000000001</v>
      </c>
      <c r="C43" s="2">
        <f t="shared" si="2"/>
        <v>1877304878736.0747</v>
      </c>
      <c r="D43" s="2">
        <f t="shared" si="3"/>
        <v>1.8773048787360747</v>
      </c>
      <c r="E43" s="2">
        <v>4.205651353821E-28</v>
      </c>
      <c r="F43">
        <f t="shared" si="10"/>
        <v>9.8832809155742895E-39</v>
      </c>
      <c r="G43">
        <f t="shared" si="11"/>
        <v>4.205651353821E-8</v>
      </c>
      <c r="H43">
        <f t="shared" si="12"/>
        <v>4.94404250955968E-18</v>
      </c>
      <c r="I43">
        <f t="shared" si="4"/>
        <v>1.1618500172660511E-28</v>
      </c>
      <c r="J43" s="2">
        <f t="shared" si="13"/>
        <v>3.3809786394876401E-7</v>
      </c>
      <c r="K43">
        <f t="shared" si="5"/>
        <v>7.9452999909879656E-18</v>
      </c>
      <c r="L43">
        <f t="shared" si="6"/>
        <v>3975.4732148998687</v>
      </c>
      <c r="M43">
        <f t="shared" si="7"/>
        <v>9.3423620550146908E-8</v>
      </c>
      <c r="N43">
        <f t="shared" si="8"/>
        <v>1.0138193849717991E-4</v>
      </c>
      <c r="O43">
        <f t="shared" si="9"/>
        <v>3.8841092210589955E-13</v>
      </c>
      <c r="P43">
        <f t="shared" si="14"/>
        <v>8.6216842483561812E-15</v>
      </c>
    </row>
    <row r="44" spans="1:16">
      <c r="A44">
        <f t="shared" si="1"/>
        <v>1.67455E-4</v>
      </c>
      <c r="B44" s="2">
        <v>167.45500000000001</v>
      </c>
      <c r="C44" s="2">
        <f t="shared" si="2"/>
        <v>1790286632229.554</v>
      </c>
      <c r="D44" s="2">
        <f t="shared" si="3"/>
        <v>1.7902866322295539</v>
      </c>
      <c r="E44" s="2">
        <v>1.6900477067526926E-27</v>
      </c>
      <c r="F44">
        <f t="shared" si="10"/>
        <v>3.9716122049402524E-38</v>
      </c>
      <c r="G44">
        <f t="shared" si="11"/>
        <v>1.6900477067526926E-7</v>
      </c>
      <c r="H44">
        <f t="shared" si="12"/>
        <v>1.8068554639930481E-17</v>
      </c>
      <c r="I44">
        <f t="shared" si="4"/>
        <v>4.246110440956841E-28</v>
      </c>
      <c r="J44" s="2">
        <f t="shared" si="13"/>
        <v>1.4246899603901348E-6</v>
      </c>
      <c r="K44">
        <f t="shared" si="5"/>
        <v>3.3480214862179007E-17</v>
      </c>
      <c r="L44">
        <f t="shared" si="6"/>
        <v>15234.994044459007</v>
      </c>
      <c r="M44">
        <f t="shared" si="7"/>
        <v>3.5802236004478667E-7</v>
      </c>
      <c r="N44">
        <f t="shared" si="8"/>
        <v>4.2720716497549575E-4</v>
      </c>
      <c r="O44">
        <f t="shared" si="9"/>
        <v>1.716254190358854E-12</v>
      </c>
      <c r="P44">
        <f t="shared" si="14"/>
        <v>3.9947953017069327E-14</v>
      </c>
    </row>
    <row r="45" spans="1:16">
      <c r="A45">
        <f t="shared" si="1"/>
        <v>1.7368099999999999E-4</v>
      </c>
      <c r="B45" s="2">
        <v>173.68100000000001</v>
      </c>
      <c r="C45" s="2">
        <f t="shared" si="2"/>
        <v>1726109637784.2134</v>
      </c>
      <c r="D45" s="2">
        <f t="shared" si="3"/>
        <v>1.7261096377842133</v>
      </c>
      <c r="E45" s="2">
        <v>4.692965512887951E-27</v>
      </c>
      <c r="F45">
        <f t="shared" si="10"/>
        <v>1.1028469216506502E-37</v>
      </c>
      <c r="G45">
        <f t="shared" si="11"/>
        <v>4.6929655128879507E-7</v>
      </c>
      <c r="H45">
        <f t="shared" si="12"/>
        <v>4.6640524879433133E-17</v>
      </c>
      <c r="I45">
        <f t="shared" si="4"/>
        <v>1.0960523606277248E-27</v>
      </c>
      <c r="J45" s="2">
        <f t="shared" si="13"/>
        <v>4.1032025312118191E-6</v>
      </c>
      <c r="K45">
        <f t="shared" si="5"/>
        <v>9.6425261767402083E-17</v>
      </c>
      <c r="L45">
        <f t="shared" si="6"/>
        <v>40788.383693780597</v>
      </c>
      <c r="M45">
        <f t="shared" si="7"/>
        <v>9.5852701680384398E-7</v>
      </c>
      <c r="N45">
        <f t="shared" si="8"/>
        <v>1.2303852553290004E-3</v>
      </c>
      <c r="O45">
        <f t="shared" si="9"/>
        <v>5.1267057559489215E-12</v>
      </c>
      <c r="P45">
        <f t="shared" si="14"/>
        <v>1.2376718215345609E-13</v>
      </c>
    </row>
    <row r="46" spans="1:16">
      <c r="A46">
        <f t="shared" si="1"/>
        <v>1.8547799999999999E-4</v>
      </c>
      <c r="B46" s="2">
        <v>185.47800000000001</v>
      </c>
      <c r="C46" s="2">
        <f t="shared" si="2"/>
        <v>1616323488499.9836</v>
      </c>
      <c r="D46" s="2">
        <f t="shared" si="3"/>
        <v>1.6163234884999835</v>
      </c>
      <c r="E46" s="2">
        <v>2.6666108514250604E-26</v>
      </c>
      <c r="F46">
        <f t="shared" si="10"/>
        <v>6.2665356492777683E-37</v>
      </c>
      <c r="G46">
        <f t="shared" si="11"/>
        <v>2.6666108514250603E-6</v>
      </c>
      <c r="H46">
        <f t="shared" si="12"/>
        <v>2.3237827418061797E-16</v>
      </c>
      <c r="I46">
        <f t="shared" si="4"/>
        <v>5.4608895725909031E-27</v>
      </c>
      <c r="J46" s="2">
        <f t="shared" si="13"/>
        <v>2.489862283865535E-5</v>
      </c>
      <c r="K46">
        <f t="shared" si="5"/>
        <v>5.851176505674706E-16</v>
      </c>
      <c r="L46">
        <f t="shared" si="6"/>
        <v>217024.45890469616</v>
      </c>
      <c r="M46">
        <f t="shared" si="7"/>
        <v>5.1000747842603598E-6</v>
      </c>
      <c r="N46">
        <f t="shared" si="8"/>
        <v>7.4660946384315779E-3</v>
      </c>
      <c r="O46">
        <f t="shared" si="9"/>
        <v>3.3222388920539569E-11</v>
      </c>
      <c r="P46">
        <f t="shared" si="14"/>
        <v>8.5652109305633352E-13</v>
      </c>
    </row>
    <row r="47" spans="1:16">
      <c r="A47">
        <f t="shared" si="1"/>
        <v>1.8820599999999998E-4</v>
      </c>
      <c r="B47" s="2">
        <v>188.20599999999999</v>
      </c>
      <c r="C47" s="2">
        <f t="shared" si="2"/>
        <v>1592895274327.0671</v>
      </c>
      <c r="D47" s="2">
        <f t="shared" si="3"/>
        <v>1.592895274327067</v>
      </c>
      <c r="E47" s="2">
        <v>3.8567332383160382E-26</v>
      </c>
      <c r="F47">
        <f t="shared" si="10"/>
        <v>9.0633233247161505E-37</v>
      </c>
      <c r="G47">
        <f t="shared" si="11"/>
        <v>3.8567332383160385E-6</v>
      </c>
      <c r="H47">
        <f t="shared" si="12"/>
        <v>3.2641744416510335E-16</v>
      </c>
      <c r="I47">
        <f t="shared" si="4"/>
        <v>7.6708101195703863E-27</v>
      </c>
      <c r="J47" s="2">
        <f t="shared" si="13"/>
        <v>3.6540656485550606E-5</v>
      </c>
      <c r="K47">
        <f t="shared" si="5"/>
        <v>8.5870544774969719E-16</v>
      </c>
      <c r="L47">
        <f t="shared" si="6"/>
        <v>309333.94509837579</v>
      </c>
      <c r="M47">
        <f t="shared" si="7"/>
        <v>7.2693477098118304E-6</v>
      </c>
      <c r="N47">
        <f t="shared" si="8"/>
        <v>1.0957071852503827E-2</v>
      </c>
      <c r="O47">
        <f t="shared" si="9"/>
        <v>4.9473534372630942E-11</v>
      </c>
      <c r="P47">
        <f t="shared" si="14"/>
        <v>1.2942590254088175E-12</v>
      </c>
    </row>
    <row r="48" spans="1:16">
      <c r="A48">
        <f t="shared" si="1"/>
        <v>2.0209299999999998E-4</v>
      </c>
      <c r="B48" s="2">
        <v>202.09299999999999</v>
      </c>
      <c r="C48" s="2">
        <f t="shared" si="2"/>
        <v>1483438060694.8286</v>
      </c>
      <c r="D48" s="2">
        <f t="shared" si="3"/>
        <v>1.4834380606948285</v>
      </c>
      <c r="E48" s="2">
        <v>2.1432931641481202E-25</v>
      </c>
      <c r="F48">
        <f t="shared" si="10"/>
        <v>5.0367390550480531E-36</v>
      </c>
      <c r="G48">
        <f t="shared" si="11"/>
        <v>2.1432931641481203E-5</v>
      </c>
      <c r="H48">
        <f t="shared" si="12"/>
        <v>1.5732571909588016E-15</v>
      </c>
      <c r="I48">
        <f t="shared" si="4"/>
        <v>3.6971544863238156E-26</v>
      </c>
      <c r="J48" s="2">
        <f t="shared" si="13"/>
        <v>2.1805001955805642E-4</v>
      </c>
      <c r="K48">
        <f t="shared" si="5"/>
        <v>5.1241755809853137E-15</v>
      </c>
      <c r="L48">
        <f t="shared" si="6"/>
        <v>1600927.8222177092</v>
      </c>
      <c r="M48">
        <f t="shared" si="7"/>
        <v>3.7621803822116166E-5</v>
      </c>
      <c r="N48">
        <f t="shared" si="8"/>
        <v>6.5384422764332498E-2</v>
      </c>
      <c r="O48">
        <f t="shared" si="9"/>
        <v>3.1700822322195798E-10</v>
      </c>
      <c r="P48">
        <f t="shared" si="14"/>
        <v>8.9050548569277247E-12</v>
      </c>
    </row>
    <row r="49" spans="1:16">
      <c r="A49">
        <f t="shared" si="1"/>
        <v>2.04692E-4</v>
      </c>
      <c r="B49" s="2">
        <v>204.69200000000001</v>
      </c>
      <c r="C49" s="2">
        <f t="shared" si="2"/>
        <v>1464602661559.8069</v>
      </c>
      <c r="D49" s="2">
        <f t="shared" si="3"/>
        <v>1.4646026615598069</v>
      </c>
      <c r="E49" s="2">
        <v>2.8745485932143281E-25</v>
      </c>
      <c r="F49">
        <f t="shared" si="10"/>
        <v>6.7551893540567767E-36</v>
      </c>
      <c r="G49">
        <f t="shared" si="11"/>
        <v>2.8745485932143282E-5</v>
      </c>
      <c r="H49">
        <f t="shared" si="12"/>
        <v>2.0567836165579037E-15</v>
      </c>
      <c r="I49">
        <f t="shared" si="4"/>
        <v>4.8334416133957507E-26</v>
      </c>
      <c r="J49" s="2">
        <f t="shared" si="13"/>
        <v>2.9620596786665592E-4</v>
      </c>
      <c r="K49">
        <f t="shared" si="5"/>
        <v>6.9608404097405614E-15</v>
      </c>
      <c r="L49">
        <f t="shared" si="6"/>
        <v>2119874.8843931034</v>
      </c>
      <c r="M49">
        <f t="shared" si="7"/>
        <v>4.9817059783237931E-5</v>
      </c>
      <c r="N49">
        <f t="shared" si="8"/>
        <v>8.8820245316030041E-2</v>
      </c>
      <c r="O49">
        <f t="shared" si="9"/>
        <v>4.3617201827975617E-10</v>
      </c>
      <c r="P49">
        <f t="shared" si="14"/>
        <v>1.2410048264435059E-11</v>
      </c>
    </row>
    <row r="50" spans="1:16">
      <c r="A50">
        <f t="shared" si="1"/>
        <v>2.05816E-4</v>
      </c>
      <c r="B50" s="2">
        <v>205.816</v>
      </c>
      <c r="C50" s="2">
        <f t="shared" si="2"/>
        <v>1456604190150.4255</v>
      </c>
      <c r="D50" s="2">
        <f t="shared" si="3"/>
        <v>1.4566041901504254</v>
      </c>
      <c r="E50" s="2">
        <v>3.2556876453496964E-25</v>
      </c>
      <c r="F50">
        <f t="shared" si="10"/>
        <v>7.6508661477898525E-36</v>
      </c>
      <c r="G50">
        <f t="shared" si="11"/>
        <v>3.2556876453496962E-5</v>
      </c>
      <c r="H50">
        <f t="shared" si="12"/>
        <v>2.3041203142794245E-15</v>
      </c>
      <c r="I50">
        <f t="shared" si="4"/>
        <v>5.4146828668085776E-26</v>
      </c>
      <c r="J50" s="2">
        <f t="shared" si="13"/>
        <v>3.3732237174511742E-4</v>
      </c>
      <c r="K50">
        <f t="shared" si="5"/>
        <v>7.9270759237706165E-15</v>
      </c>
      <c r="L50">
        <f t="shared" si="6"/>
        <v>2387839.0060610976</v>
      </c>
      <c r="M50">
        <f t="shared" si="7"/>
        <v>5.6114216642435794E-5</v>
      </c>
      <c r="N50">
        <f t="shared" si="8"/>
        <v>0.10114939960451465</v>
      </c>
      <c r="O50">
        <f t="shared" si="9"/>
        <v>4.9944469658697859E-10</v>
      </c>
      <c r="P50">
        <f t="shared" si="14"/>
        <v>1.4288325644511637E-11</v>
      </c>
    </row>
    <row r="51" spans="1:16">
      <c r="A51">
        <f t="shared" si="1"/>
        <v>2.1464099999999998E-4</v>
      </c>
      <c r="B51" s="2">
        <v>214.64099999999999</v>
      </c>
      <c r="C51" s="2">
        <f t="shared" si="2"/>
        <v>1396715669420.1016</v>
      </c>
      <c r="D51" s="2">
        <f t="shared" si="3"/>
        <v>1.3967156694201015</v>
      </c>
      <c r="E51" s="2">
        <v>8.2458559386605822E-25</v>
      </c>
      <c r="F51">
        <f t="shared" si="10"/>
        <v>1.9377761914833151E-35</v>
      </c>
      <c r="G51">
        <f t="shared" si="11"/>
        <v>8.2458559386605818E-5</v>
      </c>
      <c r="H51">
        <f t="shared" si="12"/>
        <v>5.3657577989797088E-15</v>
      </c>
      <c r="I51">
        <f t="shared" si="4"/>
        <v>1.2609531126271092E-25</v>
      </c>
      <c r="J51" s="2">
        <f t="shared" si="13"/>
        <v>8.9098769521706392E-4</v>
      </c>
      <c r="K51">
        <f t="shared" si="5"/>
        <v>2.0938211333542518E-14</v>
      </c>
      <c r="L51">
        <f t="shared" si="6"/>
        <v>5799152.1638006223</v>
      </c>
      <c r="M51">
        <f t="shared" si="7"/>
        <v>1.3628007584931461E-4</v>
      </c>
      <c r="N51">
        <f t="shared" si="8"/>
        <v>0.26717134105268786</v>
      </c>
      <c r="O51">
        <f t="shared" si="9"/>
        <v>1.3757753267630194E-9</v>
      </c>
      <c r="P51">
        <f t="shared" si="14"/>
        <v>4.1046393075732025E-11</v>
      </c>
    </row>
    <row r="52" spans="1:16">
      <c r="A52">
        <f t="shared" si="1"/>
        <v>2.24663E-4</v>
      </c>
      <c r="B52" s="2">
        <v>224.66300000000001</v>
      </c>
      <c r="C52" s="2">
        <f t="shared" si="2"/>
        <v>1334409528938.8994</v>
      </c>
      <c r="D52" s="2">
        <f t="shared" si="3"/>
        <v>1.3344095289388993</v>
      </c>
      <c r="E52" s="2">
        <v>2.1556264054629365E-24</v>
      </c>
      <c r="F52">
        <f t="shared" si="10"/>
        <v>5.065722172824364E-35</v>
      </c>
      <c r="G52">
        <f t="shared" si="11"/>
        <v>2.1556264054629364E-4</v>
      </c>
      <c r="H52">
        <f t="shared" si="12"/>
        <v>1.280356986367159E-14</v>
      </c>
      <c r="I52">
        <f t="shared" si="4"/>
        <v>3.0088389892300463E-25</v>
      </c>
      <c r="J52" s="2">
        <f t="shared" si="13"/>
        <v>2.4379698417313187E-3</v>
      </c>
      <c r="K52">
        <f t="shared" si="5"/>
        <v>5.729229263770861E-14</v>
      </c>
      <c r="L52">
        <f t="shared" si="6"/>
        <v>14483828.88359542</v>
      </c>
      <c r="M52">
        <f t="shared" si="7"/>
        <v>3.4036997876449234E-4</v>
      </c>
      <c r="N52">
        <f t="shared" si="8"/>
        <v>0.73104900949578333</v>
      </c>
      <c r="O52">
        <f t="shared" si="9"/>
        <v>3.9402430347816103E-9</v>
      </c>
      <c r="P52">
        <f t="shared" si="14"/>
        <v>1.2304652810831658E-10</v>
      </c>
    </row>
    <row r="53" spans="1:16">
      <c r="A53">
        <f t="shared" si="1"/>
        <v>2.3259100000000001E-4</v>
      </c>
      <c r="B53" s="2">
        <v>232.59100000000001</v>
      </c>
      <c r="C53" s="2">
        <f t="shared" si="2"/>
        <v>1288925401240.8047</v>
      </c>
      <c r="D53" s="2">
        <f t="shared" si="3"/>
        <v>1.2889254012408047</v>
      </c>
      <c r="E53" s="2">
        <v>4.3296646690685553E-24</v>
      </c>
      <c r="F53">
        <f t="shared" si="10"/>
        <v>1.0174712213308873E-34</v>
      </c>
      <c r="G53">
        <f t="shared" si="11"/>
        <v>4.3296646690685553E-4</v>
      </c>
      <c r="H53">
        <f t="shared" si="12"/>
        <v>2.3993253267827745E-14</v>
      </c>
      <c r="I53">
        <f t="shared" si="4"/>
        <v>5.6384146514907514E-25</v>
      </c>
      <c r="J53" s="2">
        <f t="shared" si="13"/>
        <v>5.0695621059462358E-3</v>
      </c>
      <c r="K53">
        <f t="shared" si="5"/>
        <v>1.1913471231155588E-13</v>
      </c>
      <c r="L53">
        <f t="shared" si="6"/>
        <v>28099772.259905957</v>
      </c>
      <c r="M53">
        <f t="shared" si="7"/>
        <v>6.6034464810778998E-4</v>
      </c>
      <c r="N53">
        <f t="shared" si="8"/>
        <v>1.5201575887819334</v>
      </c>
      <c r="O53">
        <f t="shared" si="9"/>
        <v>8.4825510282490961E-9</v>
      </c>
      <c r="P53">
        <f t="shared" si="14"/>
        <v>2.7424213864339649E-10</v>
      </c>
    </row>
    <row r="54" spans="1:16">
      <c r="A54">
        <f t="shared" si="1"/>
        <v>2.5066599999999997E-4</v>
      </c>
      <c r="B54" s="2">
        <v>250.666</v>
      </c>
      <c r="C54" s="2">
        <f t="shared" si="2"/>
        <v>1195983691445.9878</v>
      </c>
      <c r="D54" s="2">
        <f t="shared" si="3"/>
        <v>1.1959836914459878</v>
      </c>
      <c r="E54" s="2">
        <v>1.779008756746908E-23</v>
      </c>
      <c r="F54">
        <f t="shared" si="10"/>
        <v>4.1806706773784083E-34</v>
      </c>
      <c r="G54">
        <f t="shared" si="11"/>
        <v>1.7790087567469079E-3</v>
      </c>
      <c r="H54">
        <f t="shared" si="12"/>
        <v>8.4880496756995544E-14</v>
      </c>
      <c r="I54">
        <f t="shared" si="4"/>
        <v>1.994691721035572E-24</v>
      </c>
      <c r="J54" s="2">
        <f t="shared" si="13"/>
        <v>2.2448989503819485E-2</v>
      </c>
      <c r="K54">
        <f t="shared" si="5"/>
        <v>5.2755126583531303E-13</v>
      </c>
      <c r="L54">
        <f t="shared" si="6"/>
        <v>107133205.43851481</v>
      </c>
      <c r="M54">
        <f t="shared" si="7"/>
        <v>2.517630327805098E-3</v>
      </c>
      <c r="N54">
        <f t="shared" si="8"/>
        <v>6.7315482168942724</v>
      </c>
      <c r="O54">
        <f t="shared" si="9"/>
        <v>4.0481384268154379E-8</v>
      </c>
      <c r="P54">
        <f t="shared" si="14"/>
        <v>1.4104756269856048E-9</v>
      </c>
    </row>
    <row r="55" spans="1:16">
      <c r="A55">
        <f t="shared" si="1"/>
        <v>2.5762400000000003E-4</v>
      </c>
      <c r="B55" s="2">
        <v>257.62400000000002</v>
      </c>
      <c r="C55" s="2">
        <f t="shared" si="2"/>
        <v>1163682141415.396</v>
      </c>
      <c r="D55" s="2">
        <f t="shared" si="3"/>
        <v>1.1636821414153959</v>
      </c>
      <c r="E55" s="2">
        <v>2.8952847509951853E-23</v>
      </c>
      <c r="F55">
        <f t="shared" si="10"/>
        <v>6.8039193259960069E-34</v>
      </c>
      <c r="G55">
        <f t="shared" si="11"/>
        <v>2.8952847509951854E-3</v>
      </c>
      <c r="H55">
        <f t="shared" si="12"/>
        <v>1.307793978451316E-13</v>
      </c>
      <c r="I55">
        <f t="shared" si="4"/>
        <v>3.073315922155013E-24</v>
      </c>
      <c r="J55" s="2">
        <f t="shared" si="13"/>
        <v>3.754921674153E-2</v>
      </c>
      <c r="K55">
        <f t="shared" si="5"/>
        <v>8.8240661432659769E-13</v>
      </c>
      <c r="L55">
        <f t="shared" si="6"/>
        <v>169647087.56522751</v>
      </c>
      <c r="M55">
        <f t="shared" si="7"/>
        <v>3.9867065577828464E-3</v>
      </c>
      <c r="N55">
        <f t="shared" si="8"/>
        <v>11.259498471377402</v>
      </c>
      <c r="O55">
        <f t="shared" si="9"/>
        <v>6.9590559539016172E-8</v>
      </c>
      <c r="P55">
        <f t="shared" si="14"/>
        <v>2.4920195651844508E-9</v>
      </c>
    </row>
    <row r="56" spans="1:16">
      <c r="A56">
        <f t="shared" si="1"/>
        <v>2.7113400000000002E-4</v>
      </c>
      <c r="B56" s="2">
        <v>271.13400000000001</v>
      </c>
      <c r="C56" s="2">
        <f t="shared" si="2"/>
        <v>1105698466440.948</v>
      </c>
      <c r="D56" s="2">
        <f t="shared" si="3"/>
        <v>1.1056984664409479</v>
      </c>
      <c r="E56" s="2">
        <v>6.8994620252918967E-23</v>
      </c>
      <c r="F56">
        <f t="shared" si="10"/>
        <v>1.621373614347377E-33</v>
      </c>
      <c r="G56">
        <f t="shared" si="11"/>
        <v>6.8994620252918965E-3</v>
      </c>
      <c r="H56">
        <f t="shared" si="12"/>
        <v>2.8136362760232232E-13</v>
      </c>
      <c r="I56">
        <f t="shared" si="4"/>
        <v>6.6120454052671791E-24</v>
      </c>
      <c r="J56" s="2">
        <f t="shared" si="13"/>
        <v>9.4172150948126171E-2</v>
      </c>
      <c r="K56">
        <f t="shared" si="5"/>
        <v>2.2130455996990618E-12</v>
      </c>
      <c r="L56">
        <f t="shared" si="6"/>
        <v>384125104.76499528</v>
      </c>
      <c r="M56">
        <f t="shared" si="7"/>
        <v>9.0269399619773896E-3</v>
      </c>
      <c r="N56">
        <f t="shared" si="8"/>
        <v>28.238436954505278</v>
      </c>
      <c r="O56">
        <f t="shared" si="9"/>
        <v>1.8368326837482927E-7</v>
      </c>
      <c r="P56">
        <f t="shared" si="14"/>
        <v>6.9225863209681929E-9</v>
      </c>
    </row>
    <row r="57" spans="1:16">
      <c r="A57">
        <f t="shared" si="1"/>
        <v>2.9113999999999995E-4</v>
      </c>
      <c r="B57" s="2">
        <v>291.14</v>
      </c>
      <c r="C57" s="2">
        <f t="shared" si="2"/>
        <v>1029719200384.6947</v>
      </c>
      <c r="D57" s="2">
        <f t="shared" si="3"/>
        <v>1.0297192003846947</v>
      </c>
      <c r="E57" s="2">
        <v>2.1256353328056092E-22</v>
      </c>
      <c r="F57">
        <f t="shared" si="10"/>
        <v>4.9952431504102821E-33</v>
      </c>
      <c r="G57">
        <f t="shared" si="11"/>
        <v>2.1256353328056091E-2</v>
      </c>
      <c r="H57">
        <f t="shared" si="12"/>
        <v>7.5180583746858766E-13</v>
      </c>
      <c r="I57">
        <f t="shared" si="4"/>
        <v>1.766743759898193E-23</v>
      </c>
      <c r="J57" s="2">
        <f t="shared" si="13"/>
        <v>0.31154007371497783</v>
      </c>
      <c r="K57">
        <f t="shared" si="5"/>
        <v>7.3211919057113947E-12</v>
      </c>
      <c r="L57">
        <f t="shared" si="6"/>
        <v>1102118587.7170422</v>
      </c>
      <c r="M57">
        <f t="shared" si="7"/>
        <v>2.5899786811350491E-2</v>
      </c>
      <c r="N57">
        <f t="shared" si="8"/>
        <v>93.418326350518328</v>
      </c>
      <c r="O57">
        <f t="shared" si="9"/>
        <v>6.5249760681831747E-7</v>
      </c>
      <c r="P57">
        <f t="shared" si="14"/>
        <v>2.6405573301622802E-8</v>
      </c>
    </row>
    <row r="58" spans="1:16">
      <c r="A58">
        <f t="shared" si="1"/>
        <v>3.1034699999999999E-4</v>
      </c>
      <c r="B58" s="2">
        <v>310.34699999999998</v>
      </c>
      <c r="C58" s="2">
        <f t="shared" si="2"/>
        <v>965991126062.11768</v>
      </c>
      <c r="D58" s="2">
        <f t="shared" si="3"/>
        <v>0.96599112606211768</v>
      </c>
      <c r="E58" s="2">
        <v>5.3942042454809481E-22</v>
      </c>
      <c r="F58">
        <f t="shared" si="10"/>
        <v>1.2676380277132392E-32</v>
      </c>
      <c r="G58">
        <f t="shared" si="11"/>
        <v>5.3942042454809484E-2</v>
      </c>
      <c r="H58">
        <f t="shared" si="12"/>
        <v>1.6790087976688021E-12</v>
      </c>
      <c r="I58">
        <f t="shared" si="4"/>
        <v>3.9456707679786622E-23</v>
      </c>
      <c r="J58" s="2">
        <f t="shared" si="13"/>
        <v>0.84274894660179356</v>
      </c>
      <c r="K58">
        <f t="shared" si="5"/>
        <v>1.9804600714233014E-11</v>
      </c>
      <c r="L58">
        <f t="shared" si="6"/>
        <v>2623742917.0700889</v>
      </c>
      <c r="M58">
        <f t="shared" si="7"/>
        <v>6.1657958551147085E-2</v>
      </c>
      <c r="N58">
        <f t="shared" si="8"/>
        <v>252.70648230387491</v>
      </c>
      <c r="O58">
        <f t="shared" si="9"/>
        <v>1.8815202511880928E-6</v>
      </c>
      <c r="P58">
        <f t="shared" si="14"/>
        <v>8.1165458989970452E-8</v>
      </c>
    </row>
    <row r="59" spans="1:16">
      <c r="A59">
        <f t="shared" si="1"/>
        <v>3.1722E-4</v>
      </c>
      <c r="B59" s="2">
        <v>317.22000000000003</v>
      </c>
      <c r="C59" s="2">
        <f t="shared" si="2"/>
        <v>945061622848.49622</v>
      </c>
      <c r="D59" s="2">
        <f t="shared" si="3"/>
        <v>0.94506162284849615</v>
      </c>
      <c r="E59" s="2">
        <v>7.3038232713612503E-22</v>
      </c>
      <c r="F59">
        <f t="shared" si="10"/>
        <v>1.7163985094244302E-32</v>
      </c>
      <c r="G59">
        <f t="shared" si="11"/>
        <v>7.3038232713612497E-2</v>
      </c>
      <c r="H59">
        <f t="shared" si="12"/>
        <v>2.1759545658632102E-12</v>
      </c>
      <c r="I59">
        <f t="shared" si="4"/>
        <v>5.1134933508965137E-23</v>
      </c>
      <c r="J59" s="2">
        <f t="shared" si="13"/>
        <v>1.1663639746812429</v>
      </c>
      <c r="K59">
        <f t="shared" si="5"/>
        <v>2.7409554054230649E-11</v>
      </c>
      <c r="L59">
        <f t="shared" si="6"/>
        <v>3475610812.6038651</v>
      </c>
      <c r="M59">
        <f t="shared" si="7"/>
        <v>8.1676854096190826E-2</v>
      </c>
      <c r="N59">
        <f t="shared" si="8"/>
        <v>349.74560136345508</v>
      </c>
      <c r="O59">
        <f t="shared" si="9"/>
        <v>2.6616919132177947E-6</v>
      </c>
      <c r="P59">
        <f t="shared" si="14"/>
        <v>1.1736352531082189E-7</v>
      </c>
    </row>
    <row r="60" spans="1:16">
      <c r="A60">
        <f t="shared" si="1"/>
        <v>3.2306400000000002E-4</v>
      </c>
      <c r="B60" s="2">
        <v>323.06400000000002</v>
      </c>
      <c r="C60" s="2">
        <f t="shared" si="2"/>
        <v>927966124359.26001</v>
      </c>
      <c r="D60" s="2">
        <f t="shared" si="3"/>
        <v>0.92796612435925996</v>
      </c>
      <c r="E60" s="2">
        <v>9.3452005427092109E-22</v>
      </c>
      <c r="F60">
        <f t="shared" si="10"/>
        <v>2.1961221795539139E-32</v>
      </c>
      <c r="G60">
        <f t="shared" si="11"/>
        <v>9.3452005427092102E-2</v>
      </c>
      <c r="H60">
        <f t="shared" si="12"/>
        <v>2.6843069883917485E-12</v>
      </c>
      <c r="I60">
        <f t="shared" si="4"/>
        <v>6.3081215721344885E-23</v>
      </c>
      <c r="J60" s="2">
        <f t="shared" si="13"/>
        <v>1.5198491038406869</v>
      </c>
      <c r="K60">
        <f t="shared" si="5"/>
        <v>3.5716454786234457E-11</v>
      </c>
      <c r="L60">
        <f t="shared" si="6"/>
        <v>4366580830.3010664</v>
      </c>
      <c r="M60">
        <f t="shared" si="7"/>
        <v>0.10261464951207507</v>
      </c>
      <c r="N60">
        <f t="shared" si="8"/>
        <v>455.74156124784309</v>
      </c>
      <c r="O60">
        <f t="shared" si="9"/>
        <v>3.5322559458989741E-6</v>
      </c>
      <c r="P60">
        <f t="shared" si="14"/>
        <v>1.5861911815192095E-7</v>
      </c>
    </row>
    <row r="61" spans="1:16">
      <c r="A61">
        <f t="shared" si="1"/>
        <v>3.3446499999999994E-4</v>
      </c>
      <c r="B61" s="2">
        <v>334.46499999999997</v>
      </c>
      <c r="C61" s="2">
        <f t="shared" si="2"/>
        <v>896334289088.54443</v>
      </c>
      <c r="D61" s="2">
        <f t="shared" si="3"/>
        <v>0.8963342890885444</v>
      </c>
      <c r="E61" s="2">
        <v>1.4704938792087149E-21</v>
      </c>
      <c r="F61">
        <f t="shared" si="10"/>
        <v>3.4556606979911009E-32</v>
      </c>
      <c r="G61">
        <f t="shared" si="11"/>
        <v>0.14704938792087149</v>
      </c>
      <c r="H61">
        <f t="shared" si="12"/>
        <v>3.9407832981914386E-12</v>
      </c>
      <c r="I61">
        <f t="shared" si="4"/>
        <v>9.2608409701017365E-23</v>
      </c>
      <c r="J61" s="2">
        <f t="shared" si="13"/>
        <v>2.4759232567255332</v>
      </c>
      <c r="K61">
        <f t="shared" si="5"/>
        <v>5.8184197911198277E-11</v>
      </c>
      <c r="L61">
        <f t="shared" si="6"/>
        <v>6636727521.800601</v>
      </c>
      <c r="M61">
        <f t="shared" si="7"/>
        <v>0.15596309676231412</v>
      </c>
      <c r="N61">
        <f t="shared" si="8"/>
        <v>742.42971075121773</v>
      </c>
      <c r="O61">
        <f t="shared" si="9"/>
        <v>5.9573207572003762E-6</v>
      </c>
      <c r="P61">
        <f t="shared" si="14"/>
        <v>2.7695962490092629E-7</v>
      </c>
    </row>
    <row r="62" spans="1:16">
      <c r="A62">
        <f t="shared" si="1"/>
        <v>3.52004E-4</v>
      </c>
      <c r="B62" s="2">
        <v>352.00400000000002</v>
      </c>
      <c r="C62" s="2">
        <f t="shared" si="2"/>
        <v>851673412802.1272</v>
      </c>
      <c r="D62" s="2">
        <f t="shared" si="3"/>
        <v>0.85167341280212716</v>
      </c>
      <c r="E62" s="2">
        <v>2.771006004141675E-21</v>
      </c>
      <c r="F62">
        <f t="shared" si="10"/>
        <v>6.5118642639726551E-32</v>
      </c>
      <c r="G62">
        <f t="shared" si="11"/>
        <v>0.27710060041416751</v>
      </c>
      <c r="H62">
        <f t="shared" si="12"/>
        <v>6.7044469393601374E-12</v>
      </c>
      <c r="I62">
        <f t="shared" si="4"/>
        <v>1.5755450680679206E-22</v>
      </c>
      <c r="J62" s="2">
        <f t="shared" si="13"/>
        <v>4.9103036073246402</v>
      </c>
      <c r="K62">
        <f t="shared" si="5"/>
        <v>1.1539213750530193E-10</v>
      </c>
      <c r="L62">
        <f t="shared" si="6"/>
        <v>11883142701.12047</v>
      </c>
      <c r="M62">
        <f t="shared" si="7"/>
        <v>0.27925385347633103</v>
      </c>
      <c r="N62">
        <f t="shared" si="8"/>
        <v>1472.4023763596074</v>
      </c>
      <c r="O62">
        <f t="shared" si="9"/>
        <v>1.2434235011437677E-5</v>
      </c>
      <c r="P62">
        <f t="shared" si="14"/>
        <v>6.0838916407428897E-7</v>
      </c>
    </row>
    <row r="63" spans="1:16">
      <c r="A63">
        <f t="shared" si="1"/>
        <v>3.5848799999999996E-4</v>
      </c>
      <c r="B63" s="2">
        <v>358.488</v>
      </c>
      <c r="C63" s="2">
        <f t="shared" si="2"/>
        <v>836269130347.45935</v>
      </c>
      <c r="D63" s="2">
        <f t="shared" si="3"/>
        <v>0.83626913034745931</v>
      </c>
      <c r="E63" s="2">
        <v>3.4414136151406553E-21</v>
      </c>
      <c r="F63">
        <f t="shared" si="10"/>
        <v>8.087322187136483E-32</v>
      </c>
      <c r="G63">
        <f t="shared" si="11"/>
        <v>0.34414136151406555</v>
      </c>
      <c r="H63">
        <f t="shared" si="12"/>
        <v>8.0280175936142414E-12</v>
      </c>
      <c r="I63">
        <f t="shared" si="4"/>
        <v>1.8865841791848932E-22</v>
      </c>
      <c r="J63" s="2">
        <f t="shared" si="13"/>
        <v>6.210617397177459</v>
      </c>
      <c r="K63">
        <f t="shared" si="5"/>
        <v>1.4594951229062376E-10</v>
      </c>
      <c r="L63">
        <f t="shared" si="6"/>
        <v>14491178102.213404</v>
      </c>
      <c r="M63">
        <f t="shared" si="7"/>
        <v>0.34054268540201499</v>
      </c>
      <c r="N63">
        <f t="shared" si="8"/>
        <v>1862.3141348375343</v>
      </c>
      <c r="O63">
        <f t="shared" si="9"/>
        <v>1.6016680979098917E-5</v>
      </c>
      <c r="P63">
        <f t="shared" si="14"/>
        <v>7.9810852238609448E-7</v>
      </c>
    </row>
    <row r="64" spans="1:16">
      <c r="A64">
        <f t="shared" si="1"/>
        <v>3.7797599999999997E-4</v>
      </c>
      <c r="B64" s="2">
        <v>377.976</v>
      </c>
      <c r="C64" s="2">
        <f t="shared" si="2"/>
        <v>793152073147.50146</v>
      </c>
      <c r="D64" s="2">
        <f t="shared" si="3"/>
        <v>0.79315207314750147</v>
      </c>
      <c r="E64" s="2">
        <v>6.2765241998638883E-21</v>
      </c>
      <c r="F64">
        <f t="shared" si="10"/>
        <v>1.4749832219043987E-31</v>
      </c>
      <c r="G64">
        <f t="shared" si="11"/>
        <v>0.62765241998638888</v>
      </c>
      <c r="H64">
        <f t="shared" si="12"/>
        <v>1.317077851843108E-11</v>
      </c>
      <c r="I64">
        <f t="shared" si="4"/>
        <v>3.095133025142483E-22</v>
      </c>
      <c r="J64" s="2">
        <f t="shared" si="13"/>
        <v>11.942815211059939</v>
      </c>
      <c r="K64">
        <f t="shared" si="5"/>
        <v>2.8065616410751763E-10</v>
      </c>
      <c r="L64">
        <f t="shared" si="6"/>
        <v>25066657508.975353</v>
      </c>
      <c r="M64">
        <f t="shared" si="7"/>
        <v>0.58906645146092074</v>
      </c>
      <c r="N64">
        <f t="shared" si="8"/>
        <v>3581.1694965169859</v>
      </c>
      <c r="O64">
        <f t="shared" si="9"/>
        <v>3.2473871247274099E-5</v>
      </c>
      <c r="P64">
        <f t="shared" si="14"/>
        <v>1.7061338102397947E-6</v>
      </c>
    </row>
    <row r="65" spans="1:16">
      <c r="A65">
        <f t="shared" si="1"/>
        <v>3.8283699999999997E-4</v>
      </c>
      <c r="B65" s="2">
        <v>382.83699999999999</v>
      </c>
      <c r="C65" s="2">
        <f t="shared" si="2"/>
        <v>783081175539.45935</v>
      </c>
      <c r="D65" s="2">
        <f t="shared" si="3"/>
        <v>0.78308117553945933</v>
      </c>
      <c r="E65" s="2">
        <v>7.2133538822533421E-21</v>
      </c>
      <c r="F65">
        <f t="shared" si="10"/>
        <v>1.6951382024805013E-31</v>
      </c>
      <c r="G65">
        <f t="shared" si="11"/>
        <v>0.72133538822533416</v>
      </c>
      <c r="H65">
        <f t="shared" si="12"/>
        <v>1.4754690998250087E-11</v>
      </c>
      <c r="I65">
        <f t="shared" si="4"/>
        <v>3.4673524667163223E-22</v>
      </c>
      <c r="J65" s="2">
        <f t="shared" si="13"/>
        <v>13.901908428500032</v>
      </c>
      <c r="K65">
        <f t="shared" si="5"/>
        <v>3.2669485580783017E-10</v>
      </c>
      <c r="L65">
        <f t="shared" si="6"/>
        <v>28442304318.716354</v>
      </c>
      <c r="M65">
        <f t="shared" si="7"/>
        <v>0.66839415148983428</v>
      </c>
      <c r="N65">
        <f t="shared" si="8"/>
        <v>4168.6226846591398</v>
      </c>
      <c r="O65">
        <f t="shared" si="9"/>
        <v>3.8287010287704636E-5</v>
      </c>
      <c r="P65">
        <f t="shared" si="14"/>
        <v>2.0374180978944431E-6</v>
      </c>
    </row>
    <row r="66" spans="1:16">
      <c r="A66">
        <f t="shared" si="1"/>
        <v>3.8988899999999998E-4</v>
      </c>
      <c r="B66" s="2">
        <v>389.88900000000001</v>
      </c>
      <c r="C66" s="2">
        <f t="shared" si="2"/>
        <v>768917430345.55981</v>
      </c>
      <c r="D66" s="2">
        <f t="shared" si="3"/>
        <v>0.76891743034555982</v>
      </c>
      <c r="E66" s="2">
        <v>8.7648284903423156E-21</v>
      </c>
      <c r="F66">
        <f t="shared" si="10"/>
        <v>2.059734744017227E-31</v>
      </c>
      <c r="G66">
        <f t="shared" si="11"/>
        <v>0.87648284903423157</v>
      </c>
      <c r="H66">
        <f t="shared" si="12"/>
        <v>1.728550792716277E-11</v>
      </c>
      <c r="I66">
        <f t="shared" si="4"/>
        <v>4.0620944590978343E-22</v>
      </c>
      <c r="J66" s="2">
        <f t="shared" si="13"/>
        <v>17.203138470773339</v>
      </c>
      <c r="K66">
        <f t="shared" si="5"/>
        <v>4.0427376363878332E-10</v>
      </c>
      <c r="L66">
        <f t="shared" si="6"/>
        <v>33934689829.876961</v>
      </c>
      <c r="M66">
        <f t="shared" si="7"/>
        <v>0.79746521100210854</v>
      </c>
      <c r="N66">
        <f t="shared" si="8"/>
        <v>5158.5286757881277</v>
      </c>
      <c r="O66">
        <f t="shared" si="9"/>
        <v>4.8251608424989748E-5</v>
      </c>
      <c r="P66">
        <f t="shared" si="14"/>
        <v>2.6149752186523048E-6</v>
      </c>
    </row>
    <row r="67" spans="1:16">
      <c r="A67">
        <f t="shared" si="1"/>
        <v>3.9707100000000003E-4</v>
      </c>
      <c r="B67" s="2">
        <v>397.07100000000003</v>
      </c>
      <c r="C67" s="2">
        <f t="shared" si="2"/>
        <v>755009678369.86328</v>
      </c>
      <c r="D67" s="2">
        <f t="shared" si="3"/>
        <v>0.75500967836986321</v>
      </c>
      <c r="E67" s="2">
        <v>1.0602061936618325E-20</v>
      </c>
      <c r="F67">
        <f t="shared" si="10"/>
        <v>2.4914846141184971E-31</v>
      </c>
      <c r="G67">
        <f t="shared" si="11"/>
        <v>1.0602061936618326</v>
      </c>
      <c r="H67">
        <f t="shared" si="12"/>
        <v>2.0159264647439807E-11</v>
      </c>
      <c r="I67">
        <f t="shared" si="4"/>
        <v>4.7374273043588409E-22</v>
      </c>
      <c r="J67" s="2">
        <f t="shared" si="13"/>
        <v>21.192480239782647</v>
      </c>
      <c r="K67">
        <f t="shared" si="5"/>
        <v>4.9802329743104918E-10</v>
      </c>
      <c r="L67">
        <f t="shared" si="6"/>
        <v>40305434908.477196</v>
      </c>
      <c r="M67">
        <f t="shared" si="7"/>
        <v>0.9471777203492141</v>
      </c>
      <c r="N67">
        <f t="shared" si="8"/>
        <v>6354.7716722574114</v>
      </c>
      <c r="O67">
        <f t="shared" si="9"/>
        <v>6.053591116517831E-5</v>
      </c>
      <c r="P67">
        <f t="shared" si="14"/>
        <v>3.3411506147353238E-6</v>
      </c>
    </row>
    <row r="68" spans="1:16">
      <c r="A68">
        <f t="shared" si="1"/>
        <v>4.0958599999999998E-4</v>
      </c>
      <c r="B68" s="2">
        <v>409.58600000000001</v>
      </c>
      <c r="C68" s="2">
        <f t="shared" si="2"/>
        <v>731940173736.40698</v>
      </c>
      <c r="D68" s="2">
        <f t="shared" si="3"/>
        <v>0.73194017373640696</v>
      </c>
      <c r="E68" s="2">
        <v>1.4504342036939314E-20</v>
      </c>
      <c r="F68">
        <f t="shared" si="10"/>
        <v>3.4085204594147984E-31</v>
      </c>
      <c r="G68">
        <f t="shared" si="11"/>
        <v>1.4504342036939313</v>
      </c>
      <c r="H68">
        <f t="shared" si="12"/>
        <v>2.5919613049395322E-11</v>
      </c>
      <c r="I68">
        <f t="shared" si="4"/>
        <v>6.0911092108816351E-22</v>
      </c>
      <c r="J68" s="2">
        <f t="shared" si="13"/>
        <v>29.906556922779739</v>
      </c>
      <c r="K68">
        <f t="shared" si="5"/>
        <v>7.0280410433190967E-10</v>
      </c>
      <c r="L68">
        <f t="shared" si="6"/>
        <v>53455743355.738319</v>
      </c>
      <c r="M68">
        <f t="shared" si="7"/>
        <v>1.2562099688598505</v>
      </c>
      <c r="N68">
        <f t="shared" si="8"/>
        <v>8967.7724644457921</v>
      </c>
      <c r="O68">
        <f t="shared" si="9"/>
        <v>8.8120032232515488E-5</v>
      </c>
      <c r="P68">
        <f t="shared" si="14"/>
        <v>5.0168896815562054E-6</v>
      </c>
    </row>
    <row r="69" spans="1:16">
      <c r="A69">
        <f t="shared" si="1"/>
        <v>4.2481599999999995E-4</v>
      </c>
      <c r="B69" s="2">
        <v>424.81599999999997</v>
      </c>
      <c r="C69" s="2">
        <f t="shared" si="2"/>
        <v>705699521675.26648</v>
      </c>
      <c r="D69" s="2">
        <f t="shared" si="3"/>
        <v>0.70569952167526651</v>
      </c>
      <c r="E69" s="2">
        <v>2.0641276680533038E-20</v>
      </c>
      <c r="F69">
        <f t="shared" si="10"/>
        <v>4.8507001348187259E-31</v>
      </c>
      <c r="G69">
        <f t="shared" si="11"/>
        <v>2.0641276680533038</v>
      </c>
      <c r="H69">
        <f t="shared" si="12"/>
        <v>3.4289054744216318E-11</v>
      </c>
      <c r="I69">
        <f t="shared" si="4"/>
        <v>8.0579280557505501E-22</v>
      </c>
      <c r="J69" s="2">
        <f t="shared" si="13"/>
        <v>44.142883720879887</v>
      </c>
      <c r="K69">
        <f t="shared" si="5"/>
        <v>1.0373577920114864E-9</v>
      </c>
      <c r="L69">
        <f t="shared" si="6"/>
        <v>73346118228.695862</v>
      </c>
      <c r="M69">
        <f t="shared" si="7"/>
        <v>1.7236337783743527</v>
      </c>
      <c r="N69">
        <f t="shared" si="8"/>
        <v>13236.673755373396</v>
      </c>
      <c r="O69">
        <f t="shared" si="9"/>
        <v>1.3490395850304074E-4</v>
      </c>
      <c r="P69">
        <f t="shared" si="14"/>
        <v>7.9660010449244581E-6</v>
      </c>
    </row>
    <row r="70" spans="1:16">
      <c r="A70">
        <f t="shared" si="1"/>
        <v>4.3740599999999999E-4</v>
      </c>
      <c r="B70" s="2">
        <v>437.40600000000001</v>
      </c>
      <c r="C70" s="2">
        <f t="shared" si="2"/>
        <v>685387141465.82349</v>
      </c>
      <c r="D70" s="2">
        <f t="shared" si="3"/>
        <v>0.68538714146582347</v>
      </c>
      <c r="E70" s="2">
        <v>2.7047372094926448E-20</v>
      </c>
      <c r="F70">
        <f t="shared" si="10"/>
        <v>6.3561325928587807E-31</v>
      </c>
      <c r="G70">
        <f t="shared" si="11"/>
        <v>2.7047372094926447</v>
      </c>
      <c r="H70">
        <f t="shared" si="12"/>
        <v>4.23814969257489E-11</v>
      </c>
      <c r="I70">
        <f t="shared" si="4"/>
        <v>9.959652013454854E-22</v>
      </c>
      <c r="J70" s="2">
        <f t="shared" si="13"/>
        <v>59.557038212666761</v>
      </c>
      <c r="K70">
        <f t="shared" si="5"/>
        <v>1.3995904311483037E-9</v>
      </c>
      <c r="L70">
        <f t="shared" si="6"/>
        <v>93343006265.37825</v>
      </c>
      <c r="M70">
        <f t="shared" si="7"/>
        <v>2.1935606472363887</v>
      </c>
      <c r="N70">
        <f t="shared" si="8"/>
        <v>17858.758155496031</v>
      </c>
      <c r="O70">
        <f t="shared" si="9"/>
        <v>1.8740490570540887E-4</v>
      </c>
      <c r="P70">
        <f t="shared" si="14"/>
        <v>1.1394112195712229E-5</v>
      </c>
    </row>
    <row r="71" spans="1:16">
      <c r="A71">
        <f t="shared" ref="A71:A134" si="15">B71*0.000001</f>
        <v>4.4872799999999996E-4</v>
      </c>
      <c r="B71" s="2">
        <v>448.72800000000001</v>
      </c>
      <c r="C71" s="2">
        <f t="shared" ref="C71:C134" si="16">wavelength_to_freq(B71)</f>
        <v>668093918810.50439</v>
      </c>
      <c r="D71" s="2">
        <f t="shared" ref="D71:D134" si="17">C71*0.000000000001</f>
        <v>0.66809391881050439</v>
      </c>
      <c r="E71" s="2">
        <v>3.3975519375366291E-20</v>
      </c>
      <c r="F71">
        <f t="shared" si="10"/>
        <v>7.9842472423255926E-31</v>
      </c>
      <c r="G71">
        <f t="shared" si="11"/>
        <v>3.3975519375366292</v>
      </c>
      <c r="H71">
        <f t="shared" si="12"/>
        <v>5.058484846746957E-11</v>
      </c>
      <c r="I71">
        <f t="shared" ref="I71:I134" si="18">sr_to_arcsec2(H71)</f>
        <v>1.1887439671420701E-21</v>
      </c>
      <c r="J71" s="2">
        <f t="shared" si="13"/>
        <v>76.748969755188043</v>
      </c>
      <c r="K71">
        <f t="shared" ref="K71:K134" si="19">sr_to_arcsec2(J71)</f>
        <v>1.8036008319669257E-9</v>
      </c>
      <c r="L71">
        <f t="shared" ref="L71:L134" si="20" xml:space="preserve"> H71 * B71 / (6.62E-34 * 300000000 * 1000000)</f>
        <v>114294249159.67111</v>
      </c>
      <c r="M71">
        <f t="shared" ref="M71:M134" si="21">L71*0.0000000000235</f>
        <v>2.6859148552522711</v>
      </c>
      <c r="N71">
        <f t="shared" ref="N71:N134" si="22">L71*A71^2</f>
        <v>23013.926324661836</v>
      </c>
      <c r="O71">
        <f t="shared" ref="O71:O134" si="23">Inu_to_Antenna_Temperature(E71,C71)</f>
        <v>2.4775295967435892E-4</v>
      </c>
      <c r="P71">
        <f t="shared" si="14"/>
        <v>1.5453142922337047E-5</v>
      </c>
    </row>
    <row r="72" spans="1:16">
      <c r="A72">
        <f t="shared" si="15"/>
        <v>4.6626299999999996E-4</v>
      </c>
      <c r="B72" s="2">
        <v>466.26299999999998</v>
      </c>
      <c r="C72" s="2">
        <f t="shared" si="16"/>
        <v>642968556372.69104</v>
      </c>
      <c r="D72" s="2">
        <f t="shared" si="17"/>
        <v>0.64296855637269101</v>
      </c>
      <c r="E72" s="2">
        <v>4.7151454483560463E-20</v>
      </c>
      <c r="F72">
        <f t="shared" ref="F72:F135" si="24">sr_to_arcsec2(E72)</f>
        <v>1.1080592066091105E-30</v>
      </c>
      <c r="G72">
        <f t="shared" ref="G72:G135" si="25">Inu_to_MJy(E72)</f>
        <v>4.7151454483560462</v>
      </c>
      <c r="H72">
        <f t="shared" ref="H72:H135" si="26">Inu_to_Ilambda(E72,B72)</f>
        <v>6.5021034523793487E-11</v>
      </c>
      <c r="I72">
        <f t="shared" si="18"/>
        <v>1.5279943475011512E-21</v>
      </c>
      <c r="J72" s="2">
        <f t="shared" si="13"/>
        <v>110.67494833183927</v>
      </c>
      <c r="K72">
        <f t="shared" si="19"/>
        <v>2.6008613474021058E-9</v>
      </c>
      <c r="L72">
        <f t="shared" si="20"/>
        <v>152653084693.69345</v>
      </c>
      <c r="M72">
        <f t="shared" si="21"/>
        <v>3.5873474903017959</v>
      </c>
      <c r="N72">
        <f t="shared" si="22"/>
        <v>33186.961532112684</v>
      </c>
      <c r="O72">
        <f t="shared" si="23"/>
        <v>3.7123029349315454E-4</v>
      </c>
      <c r="P72">
        <f t="shared" si="14"/>
        <v>2.4059642096564816E-5</v>
      </c>
    </row>
    <row r="73" spans="1:16">
      <c r="A73">
        <f t="shared" si="15"/>
        <v>4.8008099999999999E-4</v>
      </c>
      <c r="B73" s="2">
        <v>480.08100000000002</v>
      </c>
      <c r="C73" s="2">
        <f t="shared" si="16"/>
        <v>624462222000.03748</v>
      </c>
      <c r="D73" s="2">
        <f t="shared" si="17"/>
        <v>0.62446222200003743</v>
      </c>
      <c r="E73" s="2">
        <v>5.9850134771913617E-20</v>
      </c>
      <c r="F73">
        <f t="shared" si="24"/>
        <v>1.4064782004537483E-30</v>
      </c>
      <c r="G73">
        <f t="shared" si="25"/>
        <v>5.9850134771913615</v>
      </c>
      <c r="H73">
        <f t="shared" si="26"/>
        <v>7.7849671506830886E-11</v>
      </c>
      <c r="I73">
        <f t="shared" si="18"/>
        <v>1.8294673237432052E-21</v>
      </c>
      <c r="J73" s="2">
        <f t="shared" ref="J73:J136" si="27">Inu_to_Nnu(E73,C73)</f>
        <v>144.64483530996878</v>
      </c>
      <c r="K73">
        <f t="shared" si="19"/>
        <v>3.3991537102964656E-9</v>
      </c>
      <c r="L73">
        <f t="shared" si="20"/>
        <v>188188057133.28738</v>
      </c>
      <c r="M73">
        <f t="shared" si="21"/>
        <v>4.4224193426322538</v>
      </c>
      <c r="N73">
        <f t="shared" si="22"/>
        <v>43373.163101533937</v>
      </c>
      <c r="O73">
        <f t="shared" si="23"/>
        <v>4.9955185601360135E-4</v>
      </c>
      <c r="P73">
        <f t="shared" si="14"/>
        <v>3.3335724287574339E-5</v>
      </c>
    </row>
    <row r="74" spans="1:16">
      <c r="A74">
        <f t="shared" si="15"/>
        <v>4.8536799999999996E-4</v>
      </c>
      <c r="B74" s="2">
        <v>485.36799999999999</v>
      </c>
      <c r="C74" s="2">
        <f t="shared" si="16"/>
        <v>617660101201.5625</v>
      </c>
      <c r="D74" s="2">
        <f t="shared" si="17"/>
        <v>0.61766010120156245</v>
      </c>
      <c r="E74" s="2">
        <v>6.5290357827805264E-20</v>
      </c>
      <c r="F74">
        <f t="shared" si="24"/>
        <v>1.5343234452953385E-30</v>
      </c>
      <c r="G74">
        <f t="shared" si="25"/>
        <v>6.5290357827805261</v>
      </c>
      <c r="H74">
        <f t="shared" si="26"/>
        <v>8.3085924542632466E-11</v>
      </c>
      <c r="I74">
        <f t="shared" si="18"/>
        <v>1.952519272999145E-21</v>
      </c>
      <c r="J74" s="2">
        <f t="shared" si="27"/>
        <v>159.53040554572533</v>
      </c>
      <c r="K74">
        <f t="shared" si="19"/>
        <v>3.7489646191223499E-9</v>
      </c>
      <c r="L74">
        <f t="shared" si="20"/>
        <v>203057648657.64566</v>
      </c>
      <c r="M74">
        <f t="shared" si="21"/>
        <v>4.7718547434546732</v>
      </c>
      <c r="N74">
        <f t="shared" si="22"/>
        <v>47836.746362638536</v>
      </c>
      <c r="O74">
        <f t="shared" si="23"/>
        <v>5.5702891097121035E-4</v>
      </c>
      <c r="P74">
        <f t="shared" si="14"/>
        <v>3.7580597175978145E-5</v>
      </c>
    </row>
    <row r="75" spans="1:16">
      <c r="A75">
        <f t="shared" si="15"/>
        <v>4.9250800000000001E-4</v>
      </c>
      <c r="B75" s="2">
        <v>492.50799999999998</v>
      </c>
      <c r="C75" s="2">
        <f t="shared" si="16"/>
        <v>608705742850.87756</v>
      </c>
      <c r="D75" s="2">
        <f t="shared" si="17"/>
        <v>0.60870574285087753</v>
      </c>
      <c r="E75" s="2">
        <v>7.3172305098076307E-20</v>
      </c>
      <c r="F75">
        <f t="shared" si="24"/>
        <v>1.719549210533957E-30</v>
      </c>
      <c r="G75">
        <f t="shared" si="25"/>
        <v>7.3172305098076311</v>
      </c>
      <c r="H75">
        <f t="shared" si="26"/>
        <v>9.0435896129272222E-11</v>
      </c>
      <c r="I75">
        <f t="shared" si="18"/>
        <v>2.12524360937632E-21</v>
      </c>
      <c r="J75" s="2">
        <f t="shared" si="27"/>
        <v>181.41922447181975</v>
      </c>
      <c r="K75">
        <f t="shared" si="19"/>
        <v>4.2633518760693211E-9</v>
      </c>
      <c r="L75">
        <f t="shared" si="20"/>
        <v>224271915059.59515</v>
      </c>
      <c r="M75">
        <f t="shared" si="21"/>
        <v>5.2703900039004861</v>
      </c>
      <c r="N75">
        <f t="shared" si="22"/>
        <v>54400.321974218008</v>
      </c>
      <c r="O75">
        <f t="shared" si="23"/>
        <v>6.4277610339744703E-4</v>
      </c>
      <c r="P75">
        <f t="shared" si="14"/>
        <v>4.40035598653577E-5</v>
      </c>
    </row>
    <row r="76" spans="1:16">
      <c r="A76">
        <f t="shared" si="15"/>
        <v>5.1175400000000001E-4</v>
      </c>
      <c r="B76" s="2">
        <v>511.75400000000002</v>
      </c>
      <c r="C76" s="2">
        <f t="shared" si="16"/>
        <v>585813590123.37952</v>
      </c>
      <c r="D76" s="2">
        <f t="shared" si="17"/>
        <v>0.58581359012337952</v>
      </c>
      <c r="E76" s="2">
        <v>9.7631186435548213E-20</v>
      </c>
      <c r="F76">
        <f t="shared" si="24"/>
        <v>2.294332935578848E-30</v>
      </c>
      <c r="G76">
        <f t="shared" si="25"/>
        <v>9.7631186435548205</v>
      </c>
      <c r="H76">
        <f t="shared" si="26"/>
        <v>1.1176009534622788E-10</v>
      </c>
      <c r="I76">
        <f t="shared" si="18"/>
        <v>2.6263623028442525E-21</v>
      </c>
      <c r="J76" s="2">
        <f t="shared" si="27"/>
        <v>251.52032940865996</v>
      </c>
      <c r="K76">
        <f t="shared" si="19"/>
        <v>5.910727881104739E-9</v>
      </c>
      <c r="L76">
        <f t="shared" si="20"/>
        <v>287984269052.43451</v>
      </c>
      <c r="M76">
        <f t="shared" si="21"/>
        <v>6.7676303227322112</v>
      </c>
      <c r="N76">
        <f t="shared" si="22"/>
        <v>75420.821264826023</v>
      </c>
      <c r="O76">
        <f t="shared" si="23"/>
        <v>9.2597117214453521E-4</v>
      </c>
      <c r="P76">
        <f t="shared" si="14"/>
        <v>6.5867853720921971E-5</v>
      </c>
    </row>
    <row r="77" spans="1:16">
      <c r="A77">
        <f t="shared" si="15"/>
        <v>5.3858900000000002E-4</v>
      </c>
      <c r="B77" s="2">
        <v>538.58900000000006</v>
      </c>
      <c r="C77" s="2">
        <f t="shared" si="16"/>
        <v>556625642187.27075</v>
      </c>
      <c r="D77" s="2">
        <f t="shared" si="17"/>
        <v>0.55662564218727073</v>
      </c>
      <c r="E77" s="2">
        <v>1.4007759082843682E-19</v>
      </c>
      <c r="F77">
        <f t="shared" si="24"/>
        <v>3.2918234624382449E-30</v>
      </c>
      <c r="G77">
        <f t="shared" si="25"/>
        <v>14.007759082843682</v>
      </c>
      <c r="H77">
        <f t="shared" si="26"/>
        <v>1.4476860639731666E-10</v>
      </c>
      <c r="I77">
        <f t="shared" si="18"/>
        <v>3.4020623309180343E-21</v>
      </c>
      <c r="J77" s="2">
        <f t="shared" si="27"/>
        <v>379.79515770022545</v>
      </c>
      <c r="K77">
        <f t="shared" si="19"/>
        <v>8.9251864173568552E-9</v>
      </c>
      <c r="L77">
        <f t="shared" si="20"/>
        <v>392602109521.27081</v>
      </c>
      <c r="M77">
        <f t="shared" si="21"/>
        <v>9.2261495737498631</v>
      </c>
      <c r="N77">
        <f t="shared" si="22"/>
        <v>113885.2782735298</v>
      </c>
      <c r="O77">
        <f t="shared" si="23"/>
        <v>1.4715330807176445E-3</v>
      </c>
      <c r="P77">
        <f t="shared" si="14"/>
        <v>1.1016466272707833E-4</v>
      </c>
    </row>
    <row r="78" spans="1:16">
      <c r="A78">
        <f t="shared" si="15"/>
        <v>5.485109999999999E-4</v>
      </c>
      <c r="B78" s="2">
        <v>548.51099999999997</v>
      </c>
      <c r="C78" s="2">
        <f t="shared" si="16"/>
        <v>546556856653.74078</v>
      </c>
      <c r="D78" s="2">
        <f t="shared" si="17"/>
        <v>0.54655685665374076</v>
      </c>
      <c r="E78" s="2">
        <v>1.5835819798552505E-19</v>
      </c>
      <c r="F78">
        <f t="shared" si="24"/>
        <v>3.7214177408051688E-30</v>
      </c>
      <c r="G78">
        <f t="shared" si="25"/>
        <v>15.835819798552505</v>
      </c>
      <c r="H78">
        <f t="shared" si="26"/>
        <v>1.5779402585603448E-10</v>
      </c>
      <c r="I78">
        <f t="shared" si="18"/>
        <v>3.7081596954481113E-21</v>
      </c>
      <c r="J78" s="2">
        <f t="shared" si="27"/>
        <v>437.26948683456982</v>
      </c>
      <c r="K78">
        <f t="shared" si="19"/>
        <v>1.0275833184005305E-8</v>
      </c>
      <c r="L78">
        <f t="shared" si="20"/>
        <v>435809460807.24725</v>
      </c>
      <c r="M78">
        <f t="shared" si="21"/>
        <v>10.24152232897031</v>
      </c>
      <c r="N78">
        <f t="shared" si="22"/>
        <v>131119.5158206436</v>
      </c>
      <c r="O78">
        <f t="shared" si="23"/>
        <v>1.7254311784388905E-3</v>
      </c>
      <c r="P78">
        <f t="shared" si="14"/>
        <v>1.3155209937522049E-4</v>
      </c>
    </row>
    <row r="79" spans="1:16">
      <c r="A79">
        <f t="shared" si="15"/>
        <v>5.5556500000000005E-4</v>
      </c>
      <c r="B79" s="2">
        <v>555.56500000000005</v>
      </c>
      <c r="C79" s="2">
        <f t="shared" si="16"/>
        <v>539617232907.04053</v>
      </c>
      <c r="D79" s="2">
        <f t="shared" si="17"/>
        <v>0.53961723290704056</v>
      </c>
      <c r="E79" s="2">
        <v>1.7222680608438367E-19</v>
      </c>
      <c r="F79">
        <f t="shared" si="24"/>
        <v>4.04733003884789E-30</v>
      </c>
      <c r="G79">
        <f t="shared" si="25"/>
        <v>17.222680608438367</v>
      </c>
      <c r="H79">
        <f t="shared" si="26"/>
        <v>1.6728295074684791E-10</v>
      </c>
      <c r="I79">
        <f t="shared" si="18"/>
        <v>3.9311494356639512E-21</v>
      </c>
      <c r="J79" s="2">
        <f t="shared" si="27"/>
        <v>481.6803234627456</v>
      </c>
      <c r="K79">
        <f t="shared" si="19"/>
        <v>1.1319487869487394E-8</v>
      </c>
      <c r="L79">
        <f t="shared" si="20"/>
        <v>467958471962.09747</v>
      </c>
      <c r="M79">
        <f t="shared" si="21"/>
        <v>10.99702409110929</v>
      </c>
      <c r="N79">
        <f t="shared" si="22"/>
        <v>144436.53786585934</v>
      </c>
      <c r="O79">
        <f t="shared" si="23"/>
        <v>1.9251160323500854E-3</v>
      </c>
      <c r="P79">
        <f t="shared" si="14"/>
        <v>1.4866426530324794E-4</v>
      </c>
    </row>
    <row r="80" spans="1:16">
      <c r="A80">
        <f t="shared" si="15"/>
        <v>5.7307500000000004E-4</v>
      </c>
      <c r="B80" s="2">
        <v>573.07500000000005</v>
      </c>
      <c r="C80" s="2">
        <f t="shared" si="16"/>
        <v>523129517078.91632</v>
      </c>
      <c r="D80" s="2">
        <f t="shared" si="17"/>
        <v>0.52312951707891631</v>
      </c>
      <c r="E80" s="2">
        <v>2.09823058783011E-19</v>
      </c>
      <c r="F80">
        <f t="shared" si="24"/>
        <v>4.9308419981924563E-30</v>
      </c>
      <c r="G80">
        <f t="shared" si="25"/>
        <v>20.982305878301101</v>
      </c>
      <c r="H80">
        <f t="shared" si="26"/>
        <v>1.9153624815805542E-10</v>
      </c>
      <c r="I80">
        <f t="shared" si="18"/>
        <v>4.5011019383271969E-21</v>
      </c>
      <c r="J80" s="2">
        <f t="shared" si="27"/>
        <v>605.32408910961988</v>
      </c>
      <c r="K80">
        <f t="shared" si="19"/>
        <v>1.4225116431011525E-8</v>
      </c>
      <c r="L80">
        <f t="shared" si="20"/>
        <v>552692021214.38879</v>
      </c>
      <c r="M80">
        <f t="shared" si="21"/>
        <v>12.988262498538136</v>
      </c>
      <c r="N80">
        <f t="shared" si="22"/>
        <v>181512.32562141508</v>
      </c>
      <c r="O80">
        <f t="shared" si="23"/>
        <v>2.4955285766404349E-3</v>
      </c>
      <c r="P80">
        <f t="shared" si="14"/>
        <v>1.9878738042909219E-4</v>
      </c>
    </row>
    <row r="81" spans="1:16">
      <c r="A81">
        <f t="shared" si="15"/>
        <v>5.8683599999999998E-4</v>
      </c>
      <c r="B81" s="2">
        <v>586.83600000000001</v>
      </c>
      <c r="C81" s="2">
        <f t="shared" si="16"/>
        <v>510862401079.68835</v>
      </c>
      <c r="D81" s="2">
        <f t="shared" si="17"/>
        <v>0.51086240107968839</v>
      </c>
      <c r="E81" s="2">
        <v>2.4256112706996097E-19</v>
      </c>
      <c r="F81">
        <f t="shared" si="24"/>
        <v>5.7001866211584422E-30</v>
      </c>
      <c r="G81">
        <f t="shared" si="25"/>
        <v>24.256112706996099</v>
      </c>
      <c r="H81">
        <f t="shared" si="26"/>
        <v>2.1115841527028958E-10</v>
      </c>
      <c r="I81">
        <f t="shared" si="18"/>
        <v>4.9622228763867891E-21</v>
      </c>
      <c r="J81" s="2">
        <f t="shared" si="27"/>
        <v>716.57430373524164</v>
      </c>
      <c r="K81">
        <f t="shared" si="19"/>
        <v>1.6839496536637722E-8</v>
      </c>
      <c r="L81">
        <f t="shared" si="20"/>
        <v>623944409786.2821</v>
      </c>
      <c r="M81">
        <f t="shared" si="21"/>
        <v>14.66269362997763</v>
      </c>
      <c r="N81">
        <f t="shared" si="22"/>
        <v>214871.78635637564</v>
      </c>
      <c r="O81">
        <f t="shared" si="23"/>
        <v>3.0251095435356152E-3</v>
      </c>
      <c r="P81">
        <f t="shared" si="14"/>
        <v>2.4675880258854703E-4</v>
      </c>
    </row>
    <row r="82" spans="1:16">
      <c r="A82">
        <f t="shared" si="15"/>
        <v>5.9005899999999998E-4</v>
      </c>
      <c r="B82" s="2">
        <v>590.05899999999997</v>
      </c>
      <c r="C82" s="2">
        <f t="shared" si="16"/>
        <v>508071986021.73682</v>
      </c>
      <c r="D82" s="2">
        <f t="shared" si="17"/>
        <v>0.50807198602173675</v>
      </c>
      <c r="E82" s="2">
        <v>2.5063477423633385E-19</v>
      </c>
      <c r="F82">
        <f t="shared" si="24"/>
        <v>5.8899173340621578E-30</v>
      </c>
      <c r="G82">
        <f t="shared" si="25"/>
        <v>25.063477423633383</v>
      </c>
      <c r="H82">
        <f t="shared" si="26"/>
        <v>2.1580978768625475E-10</v>
      </c>
      <c r="I82">
        <f t="shared" si="18"/>
        <v>5.0715301307510172E-21</v>
      </c>
      <c r="J82" s="2">
        <f t="shared" si="27"/>
        <v>744.49201831577909</v>
      </c>
      <c r="K82">
        <f t="shared" si="19"/>
        <v>1.7495562844819911E-8</v>
      </c>
      <c r="L82">
        <f t="shared" si="20"/>
        <v>641190873677.56177</v>
      </c>
      <c r="M82">
        <f t="shared" si="21"/>
        <v>15.067985531422702</v>
      </c>
      <c r="N82">
        <f t="shared" si="22"/>
        <v>223243.1850677701</v>
      </c>
      <c r="O82">
        <f t="shared" si="23"/>
        <v>3.1602294222719688E-3</v>
      </c>
      <c r="P82">
        <f t="shared" si="14"/>
        <v>2.591963319620162E-4</v>
      </c>
    </row>
    <row r="83" spans="1:16">
      <c r="A83">
        <f t="shared" si="15"/>
        <v>6.15359E-4</v>
      </c>
      <c r="B83" s="2">
        <v>615.35900000000004</v>
      </c>
      <c r="C83" s="2">
        <f t="shared" si="16"/>
        <v>487183006992.66602</v>
      </c>
      <c r="D83" s="2">
        <f t="shared" si="17"/>
        <v>0.48718300699266598</v>
      </c>
      <c r="E83" s="2">
        <v>3.1931459292960802E-19</v>
      </c>
      <c r="F83">
        <f t="shared" si="24"/>
        <v>7.5038931115826576E-30</v>
      </c>
      <c r="G83">
        <f t="shared" si="25"/>
        <v>31.931459292960803</v>
      </c>
      <c r="H83">
        <f t="shared" si="26"/>
        <v>2.5280306871287416E-10</v>
      </c>
      <c r="I83">
        <f t="shared" si="18"/>
        <v>5.940872255467771E-21</v>
      </c>
      <c r="J83" s="2">
        <f t="shared" si="27"/>
        <v>989.16924209298054</v>
      </c>
      <c r="K83">
        <f t="shared" si="19"/>
        <v>2.3245477739776365E-8</v>
      </c>
      <c r="L83">
        <f t="shared" si="20"/>
        <v>783306362336.78503</v>
      </c>
      <c r="M83">
        <f t="shared" si="21"/>
        <v>18.407699514914448</v>
      </c>
      <c r="N83">
        <f t="shared" si="22"/>
        <v>296612.03443855484</v>
      </c>
      <c r="O83">
        <f t="shared" si="23"/>
        <v>4.3788723750567268E-3</v>
      </c>
      <c r="P83">
        <f t="shared" si="14"/>
        <v>3.7454641509211201E-4</v>
      </c>
    </row>
    <row r="84" spans="1:16">
      <c r="A84">
        <f t="shared" si="15"/>
        <v>6.2327200000000002E-4</v>
      </c>
      <c r="B84" s="2">
        <v>623.27200000000005</v>
      </c>
      <c r="C84" s="2">
        <f t="shared" si="16"/>
        <v>480997779460.65277</v>
      </c>
      <c r="D84" s="2">
        <f t="shared" si="17"/>
        <v>0.48099777946065275</v>
      </c>
      <c r="E84" s="2">
        <v>3.4269917445692832E-19</v>
      </c>
      <c r="F84">
        <f t="shared" si="24"/>
        <v>8.0534307904910082E-30</v>
      </c>
      <c r="G84">
        <f t="shared" si="25"/>
        <v>34.269917445692833</v>
      </c>
      <c r="H84">
        <f t="shared" si="26"/>
        <v>2.6447127728629129E-10</v>
      </c>
      <c r="I84">
        <f t="shared" si="18"/>
        <v>6.2150751634378313E-21</v>
      </c>
      <c r="J84" s="2">
        <f t="shared" si="27"/>
        <v>1075.2611519565157</v>
      </c>
      <c r="K84">
        <f t="shared" si="19"/>
        <v>2.5268637669489914E-8</v>
      </c>
      <c r="L84">
        <f t="shared" si="20"/>
        <v>829997693538.67749</v>
      </c>
      <c r="M84">
        <f t="shared" si="21"/>
        <v>19.504945798158921</v>
      </c>
      <c r="N84">
        <f t="shared" si="22"/>
        <v>322427.53238033532</v>
      </c>
      <c r="O84">
        <f t="shared" si="23"/>
        <v>4.8211950237688327E-3</v>
      </c>
      <c r="P84">
        <f t="shared" si="14"/>
        <v>4.1768330521476825E-4</v>
      </c>
    </row>
    <row r="85" spans="1:16">
      <c r="A85">
        <f t="shared" si="15"/>
        <v>6.3475399999999996E-4</v>
      </c>
      <c r="B85" s="2">
        <v>634.75400000000002</v>
      </c>
      <c r="C85" s="2">
        <f t="shared" si="16"/>
        <v>472297059963.38739</v>
      </c>
      <c r="D85" s="2">
        <f t="shared" si="17"/>
        <v>0.47229705996338739</v>
      </c>
      <c r="E85" s="2">
        <v>3.7820421450826915E-19</v>
      </c>
      <c r="F85">
        <f t="shared" si="24"/>
        <v>8.8877992514603319E-30</v>
      </c>
      <c r="G85">
        <f t="shared" si="25"/>
        <v>37.820421450826913</v>
      </c>
      <c r="H85">
        <f t="shared" si="26"/>
        <v>2.8140781874240694E-10</v>
      </c>
      <c r="I85">
        <f t="shared" si="18"/>
        <v>6.6130838970837659E-21</v>
      </c>
      <c r="J85" s="2">
        <f t="shared" si="27"/>
        <v>1208.5234746492656</v>
      </c>
      <c r="K85">
        <f t="shared" si="19"/>
        <v>2.8400302326946002E-8</v>
      </c>
      <c r="L85">
        <f t="shared" si="20"/>
        <v>899419630302.20422</v>
      </c>
      <c r="M85">
        <f t="shared" si="21"/>
        <v>21.136361312101798</v>
      </c>
      <c r="N85">
        <f t="shared" si="22"/>
        <v>362387.53817698563</v>
      </c>
      <c r="O85">
        <f t="shared" si="23"/>
        <v>5.5185332570431098E-3</v>
      </c>
      <c r="P85">
        <f t="shared" ref="P85:P148" si="28">0.000139*O85*B85</f>
        <v>4.8690463720671879E-4</v>
      </c>
    </row>
    <row r="86" spans="1:16">
      <c r="A86">
        <f t="shared" si="15"/>
        <v>6.4644699999999997E-4</v>
      </c>
      <c r="B86" s="2">
        <v>646.447</v>
      </c>
      <c r="C86" s="2">
        <f t="shared" si="16"/>
        <v>463754102037.75409</v>
      </c>
      <c r="D86" s="2">
        <f t="shared" si="17"/>
        <v>0.46375410203775408</v>
      </c>
      <c r="E86" s="2">
        <v>4.1623213606217337E-19</v>
      </c>
      <c r="F86">
        <f t="shared" si="24"/>
        <v>9.7814554291441803E-30</v>
      </c>
      <c r="G86">
        <f t="shared" si="25"/>
        <v>41.623213606217334</v>
      </c>
      <c r="H86">
        <f t="shared" si="26"/>
        <v>2.9860044288049837E-10</v>
      </c>
      <c r="I86">
        <f t="shared" si="18"/>
        <v>7.0171105738986716E-21</v>
      </c>
      <c r="J86" s="2">
        <f t="shared" si="27"/>
        <v>1354.5399312420382</v>
      </c>
      <c r="K86">
        <f t="shared" si="19"/>
        <v>3.1831689138151828E-8</v>
      </c>
      <c r="L86">
        <f t="shared" si="20"/>
        <v>971950455683.63306</v>
      </c>
      <c r="M86">
        <f t="shared" si="21"/>
        <v>22.840835708565375</v>
      </c>
      <c r="N86">
        <f t="shared" si="22"/>
        <v>406171.99528348778</v>
      </c>
      <c r="O86">
        <f t="shared" si="23"/>
        <v>6.2992357740109597E-3</v>
      </c>
      <c r="P86">
        <f t="shared" si="28"/>
        <v>5.6602496750788667E-4</v>
      </c>
    </row>
    <row r="87" spans="1:16">
      <c r="A87">
        <f t="shared" si="15"/>
        <v>6.8533199999999998E-4</v>
      </c>
      <c r="B87" s="2">
        <v>685.33199999999999</v>
      </c>
      <c r="C87" s="2">
        <f t="shared" si="16"/>
        <v>437441193465.35693</v>
      </c>
      <c r="D87" s="2">
        <f t="shared" si="17"/>
        <v>0.43744119346535693</v>
      </c>
      <c r="E87" s="2">
        <v>5.5547161670761534E-19</v>
      </c>
      <c r="F87">
        <f t="shared" si="24"/>
        <v>1.3053583301815538E-29</v>
      </c>
      <c r="G87">
        <f t="shared" si="25"/>
        <v>55.547161670761533</v>
      </c>
      <c r="H87">
        <f t="shared" si="26"/>
        <v>3.5455248981327381E-10</v>
      </c>
      <c r="I87">
        <f t="shared" si="18"/>
        <v>8.33198370796292E-21</v>
      </c>
      <c r="J87" s="2">
        <f t="shared" si="27"/>
        <v>1916.4000051041082</v>
      </c>
      <c r="K87">
        <f t="shared" si="19"/>
        <v>4.5035401186652992E-8</v>
      </c>
      <c r="L87">
        <f t="shared" si="20"/>
        <v>1223495301856.5486</v>
      </c>
      <c r="M87">
        <f t="shared" si="21"/>
        <v>28.75213959362889</v>
      </c>
      <c r="N87">
        <f t="shared" si="22"/>
        <v>574651.21247528156</v>
      </c>
      <c r="O87">
        <f t="shared" si="23"/>
        <v>9.4482266130343912E-3</v>
      </c>
      <c r="P87">
        <f t="shared" si="28"/>
        <v>9.0004891372180782E-4</v>
      </c>
    </row>
    <row r="88" spans="1:16">
      <c r="A88">
        <f t="shared" si="15"/>
        <v>6.7048299999999993E-4</v>
      </c>
      <c r="B88" s="2">
        <v>670.48299999999995</v>
      </c>
      <c r="C88" s="2">
        <f t="shared" si="16"/>
        <v>447129081572.53802</v>
      </c>
      <c r="D88" s="2">
        <f t="shared" si="17"/>
        <v>0.447129081572538</v>
      </c>
      <c r="E88" s="2">
        <v>5.0007474384393166E-19</v>
      </c>
      <c r="F88">
        <f t="shared" si="24"/>
        <v>1.1751756758683967E-29</v>
      </c>
      <c r="G88">
        <f t="shared" si="25"/>
        <v>50.007474384393163</v>
      </c>
      <c r="H88">
        <f t="shared" si="26"/>
        <v>3.3348788997269044E-10</v>
      </c>
      <c r="I88">
        <f t="shared" si="18"/>
        <v>7.8369655999842339E-21</v>
      </c>
      <c r="J88" s="2">
        <f t="shared" si="27"/>
        <v>1687.8971204182758</v>
      </c>
      <c r="K88">
        <f t="shared" si="19"/>
        <v>3.9665583269346672E-8</v>
      </c>
      <c r="L88">
        <f t="shared" si="20"/>
        <v>1125870900969.5837</v>
      </c>
      <c r="M88">
        <f t="shared" si="21"/>
        <v>26.457966172785216</v>
      </c>
      <c r="N88">
        <f t="shared" si="22"/>
        <v>506132.39626306813</v>
      </c>
      <c r="O88">
        <f t="shared" si="23"/>
        <v>8.1413583349864843E-3</v>
      </c>
      <c r="P88">
        <f t="shared" si="28"/>
        <v>7.5875128811182715E-4</v>
      </c>
    </row>
    <row r="89" spans="1:16">
      <c r="A89">
        <f t="shared" si="15"/>
        <v>7.1341299999999998E-4</v>
      </c>
      <c r="B89" s="2">
        <v>713.41300000000001</v>
      </c>
      <c r="C89" s="2">
        <f t="shared" si="16"/>
        <v>420222855484.83136</v>
      </c>
      <c r="D89" s="2">
        <f t="shared" si="17"/>
        <v>0.42022285548483135</v>
      </c>
      <c r="E89" s="2">
        <v>6.6707311977152768E-19</v>
      </c>
      <c r="F89">
        <f t="shared" si="24"/>
        <v>1.56762186859371E-29</v>
      </c>
      <c r="G89">
        <f t="shared" si="25"/>
        <v>66.70731197715277</v>
      </c>
      <c r="H89">
        <f t="shared" si="26"/>
        <v>3.9292719814128178E-10</v>
      </c>
      <c r="I89">
        <f t="shared" si="18"/>
        <v>9.2337893750312339E-21</v>
      </c>
      <c r="J89" s="2">
        <f t="shared" si="27"/>
        <v>2395.7292755036528</v>
      </c>
      <c r="K89">
        <f t="shared" si="19"/>
        <v>5.6299639307846523E-8</v>
      </c>
      <c r="L89">
        <f t="shared" si="20"/>
        <v>1411477196412.7202</v>
      </c>
      <c r="M89">
        <f t="shared" si="21"/>
        <v>33.169714115698923</v>
      </c>
      <c r="N89">
        <f t="shared" si="22"/>
        <v>718382.76417449303</v>
      </c>
      <c r="O89">
        <f t="shared" si="23"/>
        <v>1.2295378030272456E-2</v>
      </c>
      <c r="P89">
        <f t="shared" si="28"/>
        <v>1.2192638712127961E-3</v>
      </c>
    </row>
    <row r="90" spans="1:16">
      <c r="A90">
        <f t="shared" si="15"/>
        <v>7.2522999999999999E-4</v>
      </c>
      <c r="B90" s="2">
        <v>725.23</v>
      </c>
      <c r="C90" s="2">
        <f t="shared" si="16"/>
        <v>413375684955.11768</v>
      </c>
      <c r="D90" s="2">
        <f t="shared" si="17"/>
        <v>0.41337568495511767</v>
      </c>
      <c r="E90" s="2">
        <v>7.1647447984844892E-19</v>
      </c>
      <c r="F90">
        <f t="shared" si="24"/>
        <v>1.683715067524253E-29</v>
      </c>
      <c r="G90">
        <f t="shared" si="25"/>
        <v>71.647447984844888</v>
      </c>
      <c r="H90">
        <f t="shared" si="26"/>
        <v>4.0838510384321416E-10</v>
      </c>
      <c r="I90">
        <f t="shared" si="18"/>
        <v>9.5970501676308232E-21</v>
      </c>
      <c r="J90" s="2">
        <f t="shared" si="27"/>
        <v>2615.7712793525252</v>
      </c>
      <c r="K90">
        <f t="shared" si="19"/>
        <v>6.1470626520774783E-8</v>
      </c>
      <c r="L90">
        <f t="shared" si="20"/>
        <v>1491304777745.2878</v>
      </c>
      <c r="M90">
        <f t="shared" si="21"/>
        <v>35.045662277014266</v>
      </c>
      <c r="N90">
        <f t="shared" si="22"/>
        <v>784364.50283576769</v>
      </c>
      <c r="O90">
        <f t="shared" si="23"/>
        <v>1.364704598813401E-2</v>
      </c>
      <c r="P90">
        <f t="shared" si="28"/>
        <v>1.3757173555144454E-3</v>
      </c>
    </row>
    <row r="91" spans="1:16">
      <c r="A91">
        <f t="shared" si="15"/>
        <v>7.3054499999999998E-4</v>
      </c>
      <c r="B91" s="2">
        <v>730.54499999999996</v>
      </c>
      <c r="C91" s="2">
        <f t="shared" si="16"/>
        <v>410368215510.3382</v>
      </c>
      <c r="D91" s="2">
        <f t="shared" si="17"/>
        <v>0.4103682155103382</v>
      </c>
      <c r="E91" s="2">
        <v>7.3912488659503125E-19</v>
      </c>
      <c r="F91">
        <f t="shared" si="24"/>
        <v>1.7369435246394883E-29</v>
      </c>
      <c r="G91">
        <f t="shared" si="25"/>
        <v>73.912488659503126</v>
      </c>
      <c r="H91">
        <f t="shared" si="26"/>
        <v>4.1518778549067351E-10</v>
      </c>
      <c r="I91">
        <f t="shared" si="18"/>
        <v>9.7569131901326273E-21</v>
      </c>
      <c r="J91" s="2">
        <f t="shared" si="27"/>
        <v>2718.2417482808032</v>
      </c>
      <c r="K91">
        <f t="shared" si="19"/>
        <v>6.3878682597626422E-8</v>
      </c>
      <c r="L91">
        <f t="shared" si="20"/>
        <v>1527257607005.4585</v>
      </c>
      <c r="M91">
        <f t="shared" si="21"/>
        <v>35.890553764628272</v>
      </c>
      <c r="N91">
        <f t="shared" si="22"/>
        <v>815091.27128479362</v>
      </c>
      <c r="O91">
        <f t="shared" si="23"/>
        <v>1.4285589886971355E-2</v>
      </c>
      <c r="P91">
        <f t="shared" si="28"/>
        <v>1.450641010692871E-3</v>
      </c>
    </row>
    <row r="92" spans="1:16">
      <c r="A92">
        <f t="shared" si="15"/>
        <v>7.4400300000000003E-4</v>
      </c>
      <c r="B92" s="2">
        <v>744.00300000000004</v>
      </c>
      <c r="C92" s="2">
        <f t="shared" si="16"/>
        <v>402945213930.58899</v>
      </c>
      <c r="D92" s="2">
        <f t="shared" si="17"/>
        <v>0.40294521393058896</v>
      </c>
      <c r="E92" s="2">
        <v>7.9759562981441321E-19</v>
      </c>
      <c r="F92">
        <f t="shared" si="24"/>
        <v>1.8743497744596339E-29</v>
      </c>
      <c r="G92">
        <f t="shared" si="25"/>
        <v>79.75956298144132</v>
      </c>
      <c r="H92">
        <f t="shared" si="26"/>
        <v>4.3197049163198477E-10</v>
      </c>
      <c r="I92">
        <f t="shared" si="18"/>
        <v>1.015130679379503E-20</v>
      </c>
      <c r="J92" s="2">
        <f t="shared" si="27"/>
        <v>2987.3130267718125</v>
      </c>
      <c r="K92">
        <f t="shared" si="19"/>
        <v>7.0201857791935578E-8</v>
      </c>
      <c r="L92">
        <f t="shared" si="20"/>
        <v>1618264560350.8135</v>
      </c>
      <c r="M92">
        <f t="shared" si="21"/>
        <v>38.029217168244116</v>
      </c>
      <c r="N92">
        <f t="shared" si="22"/>
        <v>895774.91562590981</v>
      </c>
      <c r="O92">
        <f t="shared" si="23"/>
        <v>1.5988898537754721E-2</v>
      </c>
      <c r="P92">
        <f t="shared" si="28"/>
        <v>1.6535145985511325E-3</v>
      </c>
    </row>
    <row r="93" spans="1:16">
      <c r="A93">
        <f t="shared" si="15"/>
        <v>7.5357000000000006E-4</v>
      </c>
      <c r="B93" s="2">
        <v>753.57</v>
      </c>
      <c r="C93" s="2">
        <f t="shared" si="16"/>
        <v>397829595127.19452</v>
      </c>
      <c r="D93" s="2">
        <f t="shared" si="17"/>
        <v>0.39782959512719451</v>
      </c>
      <c r="E93" s="2">
        <v>8.4007265403295349E-19</v>
      </c>
      <c r="F93">
        <f t="shared" si="24"/>
        <v>1.9741707837375596E-29</v>
      </c>
      <c r="G93">
        <f t="shared" si="25"/>
        <v>84.007265403295349</v>
      </c>
      <c r="H93">
        <f t="shared" si="26"/>
        <v>4.4349664109685581E-10</v>
      </c>
      <c r="I93">
        <f t="shared" si="18"/>
        <v>1.0422171312635184E-20</v>
      </c>
      <c r="J93" s="2">
        <f t="shared" si="27"/>
        <v>3186.8654562500055</v>
      </c>
      <c r="K93">
        <f t="shared" si="19"/>
        <v>7.4891339995747982E-8</v>
      </c>
      <c r="L93">
        <f t="shared" si="20"/>
        <v>1682808478506.3325</v>
      </c>
      <c r="M93">
        <f t="shared" si="21"/>
        <v>39.545999244898816</v>
      </c>
      <c r="N93">
        <f t="shared" si="22"/>
        <v>955612.65578799136</v>
      </c>
      <c r="O93">
        <f t="shared" si="23"/>
        <v>1.7276288846786978E-2</v>
      </c>
      <c r="P93">
        <f t="shared" si="28"/>
        <v>1.8096261250919836E-3</v>
      </c>
    </row>
    <row r="94" spans="1:16">
      <c r="A94">
        <f t="shared" si="15"/>
        <v>7.5770799999999995E-4</v>
      </c>
      <c r="B94" s="2">
        <v>757.70799999999997</v>
      </c>
      <c r="C94" s="2">
        <f t="shared" si="16"/>
        <v>395656965480.10583</v>
      </c>
      <c r="D94" s="2">
        <f t="shared" si="17"/>
        <v>0.39565696548010582</v>
      </c>
      <c r="E94" s="2">
        <v>8.5866404687882028E-19</v>
      </c>
      <c r="F94">
        <f t="shared" si="24"/>
        <v>2.0178605579601805E-29</v>
      </c>
      <c r="G94">
        <f t="shared" si="25"/>
        <v>85.866404687882024</v>
      </c>
      <c r="H94">
        <f t="shared" si="26"/>
        <v>4.4837379459493805E-10</v>
      </c>
      <c r="I94">
        <f t="shared" si="18"/>
        <v>1.0536784422554838E-20</v>
      </c>
      <c r="J94" s="2">
        <f t="shared" si="27"/>
        <v>3275.2799890686842</v>
      </c>
      <c r="K94">
        <f t="shared" si="19"/>
        <v>7.6969081566200228E-8</v>
      </c>
      <c r="L94">
        <f t="shared" si="20"/>
        <v>1710656652341.0942</v>
      </c>
      <c r="M94">
        <f t="shared" si="21"/>
        <v>40.200431330015711</v>
      </c>
      <c r="N94">
        <f t="shared" si="22"/>
        <v>982124.61485153204</v>
      </c>
      <c r="O94">
        <f t="shared" si="23"/>
        <v>1.7853091531253331E-2</v>
      </c>
      <c r="P94">
        <f t="shared" si="28"/>
        <v>1.8803128086368427E-3</v>
      </c>
    </row>
    <row r="95" spans="1:16">
      <c r="A95">
        <f t="shared" si="15"/>
        <v>7.6186899999999998E-4</v>
      </c>
      <c r="B95" s="2">
        <v>761.86900000000003</v>
      </c>
      <c r="C95" s="2">
        <f t="shared" si="16"/>
        <v>393496057721.20929</v>
      </c>
      <c r="D95" s="2">
        <f t="shared" si="17"/>
        <v>0.39349605772120927</v>
      </c>
      <c r="E95" s="2">
        <v>8.774856951109149E-19</v>
      </c>
      <c r="F95">
        <f t="shared" si="24"/>
        <v>2.0620914323532534E-29</v>
      </c>
      <c r="G95">
        <f t="shared" si="25"/>
        <v>87.748569511091489</v>
      </c>
      <c r="H95">
        <f t="shared" si="26"/>
        <v>4.5321067235036471E-10</v>
      </c>
      <c r="I95">
        <f t="shared" si="18"/>
        <v>1.0650451052499667E-20</v>
      </c>
      <c r="J95" s="2">
        <f t="shared" si="27"/>
        <v>3365.4537628555895</v>
      </c>
      <c r="K95">
        <f t="shared" si="19"/>
        <v>7.9088165300385017E-8</v>
      </c>
      <c r="L95">
        <f t="shared" si="20"/>
        <v>1738606051021.6516</v>
      </c>
      <c r="M95">
        <f t="shared" si="21"/>
        <v>40.857242199008809</v>
      </c>
      <c r="N95">
        <f t="shared" si="22"/>
        <v>1009164.0994591842</v>
      </c>
      <c r="O95">
        <f t="shared" si="23"/>
        <v>1.8445356701810911E-2</v>
      </c>
      <c r="P95">
        <f t="shared" si="28"/>
        <v>1.9533594196422246E-3</v>
      </c>
    </row>
    <row r="96" spans="1:16">
      <c r="A96">
        <f t="shared" si="15"/>
        <v>7.6745199999999996E-4</v>
      </c>
      <c r="B96" s="2">
        <v>767.452</v>
      </c>
      <c r="C96" s="2">
        <f t="shared" si="16"/>
        <v>390633483266.70593</v>
      </c>
      <c r="D96" s="2">
        <f t="shared" si="17"/>
        <v>0.39063348326670594</v>
      </c>
      <c r="E96" s="2">
        <v>9.029316988580916E-19</v>
      </c>
      <c r="F96">
        <f t="shared" si="24"/>
        <v>2.121889542575494E-29</v>
      </c>
      <c r="G96">
        <f t="shared" si="25"/>
        <v>90.293169885809164</v>
      </c>
      <c r="H96">
        <f t="shared" si="26"/>
        <v>4.5959272329326222E-10</v>
      </c>
      <c r="I96">
        <f t="shared" si="18"/>
        <v>1.0800429253210135E-20</v>
      </c>
      <c r="J96" s="2">
        <f t="shared" si="27"/>
        <v>3488.4250974386132</v>
      </c>
      <c r="K96">
        <f t="shared" si="19"/>
        <v>8.1977991731534369E-8</v>
      </c>
      <c r="L96">
        <f t="shared" si="20"/>
        <v>1776008835230.9197</v>
      </c>
      <c r="M96">
        <f t="shared" si="21"/>
        <v>41.736207627926611</v>
      </c>
      <c r="N96">
        <f t="shared" si="22"/>
        <v>1046038.2522089378</v>
      </c>
      <c r="O96">
        <f t="shared" si="23"/>
        <v>1.9259444282564125E-2</v>
      </c>
      <c r="P96">
        <f t="shared" si="28"/>
        <v>2.054517165662394E-3</v>
      </c>
    </row>
    <row r="97" spans="1:16">
      <c r="A97">
        <f t="shared" si="15"/>
        <v>7.8158999999999998E-4</v>
      </c>
      <c r="B97" s="2">
        <v>781.59</v>
      </c>
      <c r="C97" s="2">
        <f t="shared" si="16"/>
        <v>383567404905.38513</v>
      </c>
      <c r="D97" s="2">
        <f t="shared" si="17"/>
        <v>0.3835674049053851</v>
      </c>
      <c r="E97" s="2">
        <v>9.6828554739027503E-19</v>
      </c>
      <c r="F97">
        <f t="shared" si="24"/>
        <v>2.2754710902638505E-29</v>
      </c>
      <c r="G97">
        <f t="shared" si="25"/>
        <v>96.82855473902751</v>
      </c>
      <c r="H97">
        <f t="shared" si="26"/>
        <v>4.7518874936971836E-10</v>
      </c>
      <c r="I97">
        <f t="shared" si="18"/>
        <v>1.1166935874687914E-20</v>
      </c>
      <c r="J97" s="2">
        <f t="shared" si="27"/>
        <v>3809.831112393771</v>
      </c>
      <c r="K97">
        <f t="shared" si="19"/>
        <v>8.953103326188158E-8</v>
      </c>
      <c r="L97">
        <f t="shared" si="20"/>
        <v>1870104605336.748</v>
      </c>
      <c r="M97">
        <f t="shared" si="21"/>
        <v>43.947458225413577</v>
      </c>
      <c r="N97">
        <f t="shared" si="22"/>
        <v>1142414.9771614075</v>
      </c>
      <c r="O97">
        <f t="shared" si="23"/>
        <v>2.142139973324058E-2</v>
      </c>
      <c r="P97">
        <f t="shared" si="28"/>
        <v>2.3272425026329871E-3</v>
      </c>
    </row>
    <row r="98" spans="1:16">
      <c r="A98">
        <f t="shared" si="15"/>
        <v>7.9453599999999988E-4</v>
      </c>
      <c r="B98" s="2">
        <v>794.53599999999994</v>
      </c>
      <c r="C98" s="2">
        <f t="shared" si="16"/>
        <v>377317639477.63226</v>
      </c>
      <c r="D98" s="2">
        <f t="shared" si="17"/>
        <v>0.37731763947763225</v>
      </c>
      <c r="E98" s="2">
        <v>1.0291636706874809E-18</v>
      </c>
      <c r="F98">
        <f t="shared" si="24"/>
        <v>2.418534683400882E-29</v>
      </c>
      <c r="G98">
        <f t="shared" si="25"/>
        <v>102.91636706874809</v>
      </c>
      <c r="H98">
        <f t="shared" si="26"/>
        <v>4.887401034816995E-10</v>
      </c>
      <c r="I98">
        <f t="shared" si="18"/>
        <v>1.1485392703862424E-20</v>
      </c>
      <c r="J98" s="2">
        <f t="shared" si="27"/>
        <v>4116.4354269202095</v>
      </c>
      <c r="K98">
        <f t="shared" si="19"/>
        <v>9.6736234823914958E-8</v>
      </c>
      <c r="L98">
        <f t="shared" si="20"/>
        <v>1955295099999.6753</v>
      </c>
      <c r="M98">
        <f t="shared" si="21"/>
        <v>45.949434849992372</v>
      </c>
      <c r="N98">
        <f t="shared" si="22"/>
        <v>1234353.2680315324</v>
      </c>
      <c r="O98">
        <f t="shared" si="23"/>
        <v>2.3528704421784896E-2</v>
      </c>
      <c r="P98">
        <f t="shared" si="28"/>
        <v>2.5985219748089522E-3</v>
      </c>
    </row>
    <row r="99" spans="1:16">
      <c r="A99">
        <f t="shared" si="15"/>
        <v>7.9598799999999997E-4</v>
      </c>
      <c r="B99" s="2">
        <v>795.98800000000006</v>
      </c>
      <c r="C99" s="2">
        <f t="shared" si="16"/>
        <v>376629356221.45056</v>
      </c>
      <c r="D99" s="2">
        <f t="shared" si="17"/>
        <v>0.37662935622145055</v>
      </c>
      <c r="E99" s="2">
        <v>1.0360472240344711E-18</v>
      </c>
      <c r="F99">
        <f t="shared" si="24"/>
        <v>2.4347110341494612E-29</v>
      </c>
      <c r="G99">
        <f t="shared" si="25"/>
        <v>103.60472240344711</v>
      </c>
      <c r="H99">
        <f t="shared" si="26"/>
        <v>4.9021568039106584E-10</v>
      </c>
      <c r="I99">
        <f t="shared" si="18"/>
        <v>1.1520068762053868E-20</v>
      </c>
      <c r="J99" s="2">
        <f t="shared" si="27"/>
        <v>4151.541199820309</v>
      </c>
      <c r="K99">
        <f t="shared" si="19"/>
        <v>9.7561220506607865E-8</v>
      </c>
      <c r="L99">
        <f t="shared" si="20"/>
        <v>1964782472321.8716</v>
      </c>
      <c r="M99">
        <f t="shared" si="21"/>
        <v>46.172388099563982</v>
      </c>
      <c r="N99">
        <f t="shared" si="22"/>
        <v>1244880.0760612723</v>
      </c>
      <c r="O99">
        <f t="shared" si="23"/>
        <v>2.3772726826452904E-2</v>
      </c>
      <c r="P99">
        <f t="shared" si="28"/>
        <v>2.6302699340777086E-3</v>
      </c>
    </row>
    <row r="100" spans="1:16">
      <c r="A100">
        <f t="shared" si="15"/>
        <v>8.1510199999999995E-4</v>
      </c>
      <c r="B100" s="2">
        <v>815.10199999999998</v>
      </c>
      <c r="C100" s="2">
        <f t="shared" si="16"/>
        <v>367797463384.95062</v>
      </c>
      <c r="D100" s="2">
        <f t="shared" si="17"/>
        <v>0.36779746338495062</v>
      </c>
      <c r="E100" s="2">
        <v>1.1275735598091323E-18</v>
      </c>
      <c r="F100">
        <f t="shared" si="24"/>
        <v>2.6497979283144533E-29</v>
      </c>
      <c r="G100">
        <f t="shared" si="25"/>
        <v>112.75735598091323</v>
      </c>
      <c r="H100">
        <f t="shared" si="26"/>
        <v>5.0879361733591342E-10</v>
      </c>
      <c r="I100">
        <f t="shared" si="18"/>
        <v>1.1956650290598637E-20</v>
      </c>
      <c r="J100" s="2">
        <f t="shared" si="27"/>
        <v>4626.7935626519202</v>
      </c>
      <c r="K100">
        <f t="shared" si="19"/>
        <v>1.0872965129768567E-7</v>
      </c>
      <c r="L100">
        <f t="shared" si="20"/>
        <v>2088210952053.0596</v>
      </c>
      <c r="M100">
        <f t="shared" si="21"/>
        <v>49.072957373246901</v>
      </c>
      <c r="N100">
        <f t="shared" si="22"/>
        <v>1387389.1273060783</v>
      </c>
      <c r="O100">
        <f t="shared" si="23"/>
        <v>2.7130338260652032E-2</v>
      </c>
      <c r="P100">
        <f t="shared" si="28"/>
        <v>3.0738450237938245E-3</v>
      </c>
    </row>
    <row r="101" spans="1:16">
      <c r="A101">
        <f t="shared" si="15"/>
        <v>8.3467600000000002E-4</v>
      </c>
      <c r="B101" s="2">
        <v>834.67600000000004</v>
      </c>
      <c r="C101" s="2">
        <f t="shared" si="16"/>
        <v>359172239288.05908</v>
      </c>
      <c r="D101" s="2">
        <f t="shared" si="17"/>
        <v>0.35917223928805908</v>
      </c>
      <c r="E101" s="2">
        <v>1.2227579015087884E-18</v>
      </c>
      <c r="F101">
        <f t="shared" si="24"/>
        <v>2.8734811366067955E-29</v>
      </c>
      <c r="G101">
        <f t="shared" si="25"/>
        <v>122.27579015087883</v>
      </c>
      <c r="H101">
        <f t="shared" si="26"/>
        <v>5.2616906870699464E-10</v>
      </c>
      <c r="I101">
        <f t="shared" si="18"/>
        <v>1.2364973407490568E-20</v>
      </c>
      <c r="J101" s="2">
        <f t="shared" si="27"/>
        <v>5137.8531167563306</v>
      </c>
      <c r="K101">
        <f t="shared" si="19"/>
        <v>1.2073955110360525E-7</v>
      </c>
      <c r="L101">
        <f t="shared" si="20"/>
        <v>2211383150010.4707</v>
      </c>
      <c r="M101">
        <f t="shared" si="21"/>
        <v>51.967504025246058</v>
      </c>
      <c r="N101">
        <f t="shared" si="22"/>
        <v>1540635.3137134004</v>
      </c>
      <c r="O101">
        <f t="shared" si="23"/>
        <v>3.0850537680835746E-2</v>
      </c>
      <c r="P101">
        <f t="shared" si="28"/>
        <v>3.5792782711112068E-3</v>
      </c>
    </row>
    <row r="102" spans="1:16">
      <c r="A102">
        <f t="shared" si="15"/>
        <v>8.4232899999999995E-4</v>
      </c>
      <c r="B102" s="2">
        <v>842.32899999999995</v>
      </c>
      <c r="C102" s="2">
        <f t="shared" si="16"/>
        <v>355908971435.15186</v>
      </c>
      <c r="D102" s="2">
        <f t="shared" si="17"/>
        <v>0.35590897143515182</v>
      </c>
      <c r="E102" s="2">
        <v>1.2602796513288732E-18</v>
      </c>
      <c r="F102">
        <f t="shared" si="24"/>
        <v>2.9616572507725298E-29</v>
      </c>
      <c r="G102">
        <f t="shared" si="25"/>
        <v>126.02796513288732</v>
      </c>
      <c r="H102">
        <f t="shared" si="26"/>
        <v>5.3250551082191283E-10</v>
      </c>
      <c r="I102">
        <f t="shared" si="18"/>
        <v>1.2513879800718136E-20</v>
      </c>
      <c r="J102" s="2">
        <f t="shared" si="27"/>
        <v>5344.0677752971633</v>
      </c>
      <c r="K102">
        <f t="shared" si="19"/>
        <v>1.2558559569409801E-7</v>
      </c>
      <c r="L102">
        <f t="shared" si="20"/>
        <v>2258533909491.9985</v>
      </c>
      <c r="M102">
        <f t="shared" si="21"/>
        <v>53.075546873061967</v>
      </c>
      <c r="N102">
        <f t="shared" si="22"/>
        <v>1602470.7881681332</v>
      </c>
      <c r="O102">
        <f t="shared" si="23"/>
        <v>3.2382981930658049E-2</v>
      </c>
      <c r="P102">
        <f t="shared" si="28"/>
        <v>3.7915203453470275E-3</v>
      </c>
    </row>
    <row r="103" spans="1:16">
      <c r="A103">
        <f t="shared" si="15"/>
        <v>8.4540899999999998E-4</v>
      </c>
      <c r="B103" s="2">
        <v>845.40899999999999</v>
      </c>
      <c r="C103" s="2">
        <f t="shared" si="16"/>
        <v>354612321373.44171</v>
      </c>
      <c r="D103" s="2">
        <f t="shared" si="17"/>
        <v>0.35461232137344173</v>
      </c>
      <c r="E103" s="2">
        <v>1.2754197300236689E-18</v>
      </c>
      <c r="F103">
        <f t="shared" si="24"/>
        <v>2.9972364365480271E-29</v>
      </c>
      <c r="G103">
        <f t="shared" si="25"/>
        <v>127.54197300236689</v>
      </c>
      <c r="H103">
        <f t="shared" si="26"/>
        <v>5.3498312791699826E-10</v>
      </c>
      <c r="I103">
        <f t="shared" si="18"/>
        <v>1.2572103803831735E-20</v>
      </c>
      <c r="J103" s="2">
        <f t="shared" si="27"/>
        <v>5428.0429842857911</v>
      </c>
      <c r="K103">
        <f t="shared" si="19"/>
        <v>1.2755901315207304E-7</v>
      </c>
      <c r="L103">
        <f t="shared" si="20"/>
        <v>2277339129854.8916</v>
      </c>
      <c r="M103">
        <f t="shared" si="21"/>
        <v>53.517469551589954</v>
      </c>
      <c r="N103">
        <f t="shared" si="22"/>
        <v>1627651.5727301529</v>
      </c>
      <c r="O103">
        <f t="shared" si="23"/>
        <v>3.3012109136381189E-2</v>
      </c>
      <c r="P103">
        <f t="shared" si="28"/>
        <v>3.8793140500301645E-3</v>
      </c>
    </row>
    <row r="104" spans="1:16">
      <c r="A104">
        <f t="shared" si="15"/>
        <v>8.945829999999999E-4</v>
      </c>
      <c r="B104" s="2">
        <v>894.58299999999997</v>
      </c>
      <c r="C104" s="2">
        <f t="shared" si="16"/>
        <v>335119768651.98645</v>
      </c>
      <c r="D104" s="2">
        <f t="shared" si="17"/>
        <v>0.33511976865198645</v>
      </c>
      <c r="E104" s="2">
        <v>1.5188065256236232E-18</v>
      </c>
      <c r="F104">
        <f t="shared" si="24"/>
        <v>3.5691954197553141E-29</v>
      </c>
      <c r="G104">
        <f t="shared" si="25"/>
        <v>151.88065256236231</v>
      </c>
      <c r="H104">
        <f t="shared" si="26"/>
        <v>5.6896016523242222E-10</v>
      </c>
      <c r="I104">
        <f t="shared" si="18"/>
        <v>1.3370564199656495E-20</v>
      </c>
      <c r="J104" s="2">
        <f t="shared" si="27"/>
        <v>6839.8468182958522</v>
      </c>
      <c r="K104">
        <f t="shared" si="19"/>
        <v>1.6073640403714764E-7</v>
      </c>
      <c r="L104">
        <f t="shared" si="20"/>
        <v>2562850410342.9805</v>
      </c>
      <c r="M104">
        <f t="shared" si="21"/>
        <v>60.226984643060042</v>
      </c>
      <c r="N104">
        <f t="shared" si="22"/>
        <v>2050994.707164688</v>
      </c>
      <c r="O104">
        <f t="shared" si="23"/>
        <v>4.4017983535777072E-2</v>
      </c>
      <c r="P104">
        <f t="shared" si="28"/>
        <v>5.473505827388662E-3</v>
      </c>
    </row>
    <row r="105" spans="1:16">
      <c r="A105">
        <f t="shared" si="15"/>
        <v>9.3833299999999996E-4</v>
      </c>
      <c r="B105" s="2">
        <v>938.33299999999997</v>
      </c>
      <c r="C105" s="2">
        <f t="shared" si="16"/>
        <v>319494729483.03003</v>
      </c>
      <c r="D105" s="2">
        <f t="shared" si="17"/>
        <v>0.31949472948303004</v>
      </c>
      <c r="E105" s="2">
        <v>1.7347607421854608E-18</v>
      </c>
      <c r="F105">
        <f t="shared" si="24"/>
        <v>4.0766878406960742E-29</v>
      </c>
      <c r="G105">
        <f t="shared" si="25"/>
        <v>173.47607421854607</v>
      </c>
      <c r="H105">
        <f t="shared" si="26"/>
        <v>5.9067187666033716E-10</v>
      </c>
      <c r="I105">
        <f t="shared" si="18"/>
        <v>1.3880789430297667E-20</v>
      </c>
      <c r="J105" s="2">
        <f t="shared" si="27"/>
        <v>8194.4508727280208</v>
      </c>
      <c r="K105">
        <f t="shared" si="19"/>
        <v>1.9256960007030322E-7</v>
      </c>
      <c r="L105">
        <f t="shared" si="20"/>
        <v>2790769959931.1387</v>
      </c>
      <c r="M105">
        <f t="shared" si="21"/>
        <v>65.583094058381761</v>
      </c>
      <c r="N105">
        <f t="shared" si="22"/>
        <v>2457185.9304114711</v>
      </c>
      <c r="O105">
        <f t="shared" si="23"/>
        <v>5.5314625096104943E-2</v>
      </c>
      <c r="P105">
        <f t="shared" si="28"/>
        <v>7.2145917973321771E-3</v>
      </c>
    </row>
    <row r="106" spans="1:16">
      <c r="A106">
        <f t="shared" si="15"/>
        <v>1.00917E-3</v>
      </c>
      <c r="B106" s="2">
        <v>1009.17</v>
      </c>
      <c r="C106" s="2">
        <f t="shared" si="16"/>
        <v>297068331401.05237</v>
      </c>
      <c r="D106" s="2">
        <f t="shared" si="17"/>
        <v>0.29706833140105238</v>
      </c>
      <c r="E106" s="2">
        <v>2.0739262636884447E-18</v>
      </c>
      <c r="F106">
        <f t="shared" si="24"/>
        <v>4.8737268351067156E-29</v>
      </c>
      <c r="G106">
        <f t="shared" si="25"/>
        <v>207.39262636884447</v>
      </c>
      <c r="H106">
        <f t="shared" si="26"/>
        <v>6.1049953387709219E-10</v>
      </c>
      <c r="I106">
        <f t="shared" si="18"/>
        <v>1.4346739385927878E-20</v>
      </c>
      <c r="J106" s="2">
        <f t="shared" si="27"/>
        <v>10536.125214695843</v>
      </c>
      <c r="K106">
        <f t="shared" si="19"/>
        <v>2.4759894840996968E-7</v>
      </c>
      <c r="L106">
        <f t="shared" si="20"/>
        <v>3102204504545.5439</v>
      </c>
      <c r="M106">
        <f t="shared" si="21"/>
        <v>72.901805856820275</v>
      </c>
      <c r="N106">
        <f t="shared" si="22"/>
        <v>3159359.7961232718</v>
      </c>
      <c r="O106">
        <f t="shared" si="23"/>
        <v>7.649065537960445E-2</v>
      </c>
      <c r="P106">
        <f t="shared" si="28"/>
        <v>1.0729698381831522E-2</v>
      </c>
    </row>
    <row r="107" spans="1:16">
      <c r="A107">
        <f t="shared" si="15"/>
        <v>1.0483299999999999E-3</v>
      </c>
      <c r="B107" s="2">
        <v>1048.33</v>
      </c>
      <c r="C107" s="2">
        <f t="shared" si="16"/>
        <v>285971447921.93298</v>
      </c>
      <c r="D107" s="2">
        <f t="shared" si="17"/>
        <v>0.28597144792193296</v>
      </c>
      <c r="E107" s="2">
        <v>2.2522334160377067E-18</v>
      </c>
      <c r="F107">
        <f t="shared" si="24"/>
        <v>5.2927486530524131E-29</v>
      </c>
      <c r="G107">
        <f t="shared" si="25"/>
        <v>225.22334160377068</v>
      </c>
      <c r="H107">
        <f t="shared" si="26"/>
        <v>6.1438139807356866E-10</v>
      </c>
      <c r="I107">
        <f t="shared" si="18"/>
        <v>1.44379631967058E-20</v>
      </c>
      <c r="J107" s="2">
        <f t="shared" si="27"/>
        <v>11885.971707270195</v>
      </c>
      <c r="K107">
        <f t="shared" si="19"/>
        <v>2.7932034173681841E-7</v>
      </c>
      <c r="L107">
        <f t="shared" si="20"/>
        <v>3243073771613.6157</v>
      </c>
      <c r="M107">
        <f t="shared" si="21"/>
        <v>76.212233632919961</v>
      </c>
      <c r="N107">
        <f t="shared" si="22"/>
        <v>3564124.4180954034</v>
      </c>
      <c r="O107">
        <f t="shared" si="23"/>
        <v>8.9638758611871996E-2</v>
      </c>
      <c r="P107">
        <f t="shared" si="28"/>
        <v>1.3061968974366142E-2</v>
      </c>
    </row>
    <row r="108" spans="1:16">
      <c r="A108">
        <f t="shared" si="15"/>
        <v>1.08E-3</v>
      </c>
      <c r="B108" s="2">
        <v>1080</v>
      </c>
      <c r="C108" s="2">
        <f t="shared" si="16"/>
        <v>277585600000</v>
      </c>
      <c r="D108" s="2">
        <f t="shared" si="17"/>
        <v>0.27758559999999999</v>
      </c>
      <c r="E108" s="2">
        <v>2.390340408335339E-18</v>
      </c>
      <c r="F108">
        <f t="shared" si="24"/>
        <v>5.6173000926391601E-29</v>
      </c>
      <c r="G108">
        <f t="shared" si="25"/>
        <v>239.03404083353391</v>
      </c>
      <c r="H108">
        <f t="shared" si="26"/>
        <v>6.1437414486297234E-10</v>
      </c>
      <c r="I108">
        <f t="shared" si="18"/>
        <v>1.4437792746252747E-20</v>
      </c>
      <c r="J108" s="2">
        <f t="shared" si="27"/>
        <v>12995.912809251668</v>
      </c>
      <c r="K108">
        <f t="shared" si="19"/>
        <v>3.0540395825119835E-7</v>
      </c>
      <c r="L108">
        <f t="shared" si="20"/>
        <v>3341007434300.1514</v>
      </c>
      <c r="M108">
        <f t="shared" si="21"/>
        <v>78.51367470605355</v>
      </c>
      <c r="N108">
        <f t="shared" si="22"/>
        <v>3896951.0713676964</v>
      </c>
      <c r="O108">
        <f t="shared" si="23"/>
        <v>0.10097030580531301</v>
      </c>
      <c r="P108">
        <f t="shared" si="28"/>
        <v>1.5157662307493588E-2</v>
      </c>
    </row>
    <row r="109" spans="1:16">
      <c r="A109">
        <f t="shared" si="15"/>
        <v>1.0999999999999998E-3</v>
      </c>
      <c r="B109" s="2">
        <v>1100</v>
      </c>
      <c r="C109" s="2">
        <f t="shared" si="16"/>
        <v>272538589090.90909</v>
      </c>
      <c r="D109" s="2">
        <f t="shared" si="17"/>
        <v>0.27253858909090906</v>
      </c>
      <c r="E109" s="2">
        <v>2.4744620138851182E-18</v>
      </c>
      <c r="F109">
        <f t="shared" si="24"/>
        <v>5.8149858703635173E-29</v>
      </c>
      <c r="G109">
        <f t="shared" si="25"/>
        <v>247.44620138851181</v>
      </c>
      <c r="H109">
        <f t="shared" si="26"/>
        <v>6.1307853274845429E-10</v>
      </c>
      <c r="I109">
        <f t="shared" si="18"/>
        <v>1.4407345860840412E-20</v>
      </c>
      <c r="J109" s="2">
        <f t="shared" si="27"/>
        <v>13702.403639809272</v>
      </c>
      <c r="K109">
        <f t="shared" si="19"/>
        <v>3.2200649316254895E-7</v>
      </c>
      <c r="L109">
        <f t="shared" si="20"/>
        <v>3395701843017.6221</v>
      </c>
      <c r="M109">
        <f t="shared" si="21"/>
        <v>79.798993310914113</v>
      </c>
      <c r="N109">
        <f t="shared" si="22"/>
        <v>4108799.2300513214</v>
      </c>
      <c r="O109">
        <f t="shared" si="23"/>
        <v>0.1084307767668348</v>
      </c>
      <c r="P109">
        <f t="shared" si="28"/>
        <v>1.6579065767649039E-2</v>
      </c>
    </row>
    <row r="110" spans="1:16">
      <c r="A110">
        <f t="shared" si="15"/>
        <v>1.1166699999999999E-3</v>
      </c>
      <c r="B110" s="2">
        <v>1116.67</v>
      </c>
      <c r="C110" s="2">
        <f t="shared" si="16"/>
        <v>268470047552.09683</v>
      </c>
      <c r="D110" s="2">
        <f t="shared" si="17"/>
        <v>0.2684700475520968</v>
      </c>
      <c r="E110" s="2">
        <v>2.542646068602231E-18</v>
      </c>
      <c r="F110">
        <f t="shared" si="24"/>
        <v>5.9752184027439921E-29</v>
      </c>
      <c r="G110">
        <f t="shared" si="25"/>
        <v>254.2646068602231</v>
      </c>
      <c r="H110">
        <f t="shared" si="26"/>
        <v>6.1130352829913319E-10</v>
      </c>
      <c r="I110">
        <f t="shared" si="18"/>
        <v>1.4365633255293362E-20</v>
      </c>
      <c r="J110" s="2">
        <f t="shared" si="27"/>
        <v>14293.350395993753</v>
      </c>
      <c r="K110">
        <f t="shared" si="19"/>
        <v>3.3589374226181703E-7</v>
      </c>
      <c r="L110">
        <f t="shared" si="20"/>
        <v>3437181827521.6162</v>
      </c>
      <c r="M110">
        <f t="shared" si="21"/>
        <v>80.773772946757973</v>
      </c>
      <c r="N110">
        <f t="shared" si="22"/>
        <v>4286000.3723208327</v>
      </c>
      <c r="O110">
        <f t="shared" si="23"/>
        <v>0.11482118278458806</v>
      </c>
      <c r="P110">
        <f t="shared" si="28"/>
        <v>1.7822214455029167E-2</v>
      </c>
    </row>
    <row r="111" spans="1:16">
      <c r="A111">
        <f t="shared" si="15"/>
        <v>1.1554200000000001E-3</v>
      </c>
      <c r="B111" s="2">
        <v>1155.42</v>
      </c>
      <c r="C111" s="2">
        <f t="shared" si="16"/>
        <v>259466209689.98285</v>
      </c>
      <c r="D111" s="2">
        <f t="shared" si="17"/>
        <v>0.25946620968998285</v>
      </c>
      <c r="E111" s="2">
        <v>2.6940599684706472E-18</v>
      </c>
      <c r="F111">
        <f t="shared" si="24"/>
        <v>6.3310410758627703E-29</v>
      </c>
      <c r="G111">
        <f t="shared" si="25"/>
        <v>269.40599684706473</v>
      </c>
      <c r="H111">
        <f t="shared" si="26"/>
        <v>6.0498998519723867E-10</v>
      </c>
      <c r="I111">
        <f t="shared" si="18"/>
        <v>1.4217264988884598E-20</v>
      </c>
      <c r="J111" s="2">
        <f t="shared" si="27"/>
        <v>15670.051353147122</v>
      </c>
      <c r="K111">
        <f t="shared" si="19"/>
        <v>3.6824621552122036E-7</v>
      </c>
      <c r="L111">
        <f t="shared" si="20"/>
        <v>3519725723547.8018</v>
      </c>
      <c r="M111">
        <f t="shared" si="21"/>
        <v>82.713554503373345</v>
      </c>
      <c r="N111">
        <f t="shared" si="22"/>
        <v>4698817.5671324609</v>
      </c>
      <c r="O111">
        <f t="shared" si="23"/>
        <v>0.13024870909097488</v>
      </c>
      <c r="P111">
        <f t="shared" si="28"/>
        <v>2.0918382920647294E-2</v>
      </c>
    </row>
    <row r="112" spans="1:16">
      <c r="A112">
        <f t="shared" si="15"/>
        <v>1.2141700000000001E-3</v>
      </c>
      <c r="B112" s="2">
        <v>1214.17</v>
      </c>
      <c r="C112" s="2">
        <f t="shared" si="16"/>
        <v>246911427559.56741</v>
      </c>
      <c r="D112" s="2">
        <f t="shared" si="17"/>
        <v>0.24691142755956741</v>
      </c>
      <c r="E112" s="2">
        <v>2.9039420675820596E-18</v>
      </c>
      <c r="F112">
        <f t="shared" si="24"/>
        <v>6.8242640204570458E-29</v>
      </c>
      <c r="G112">
        <f t="shared" si="25"/>
        <v>290.39420675820594</v>
      </c>
      <c r="H112">
        <f t="shared" si="26"/>
        <v>5.9054043622966145E-10</v>
      </c>
      <c r="I112">
        <f t="shared" si="18"/>
        <v>1.3877700580103624E-20</v>
      </c>
      <c r="J112" s="2">
        <f t="shared" si="27"/>
        <v>17749.68811715594</v>
      </c>
      <c r="K112">
        <f t="shared" si="19"/>
        <v>4.1711768063299489E-7</v>
      </c>
      <c r="L112">
        <f t="shared" si="20"/>
        <v>3610354891525.5186</v>
      </c>
      <c r="M112">
        <f t="shared" si="21"/>
        <v>84.843339950849682</v>
      </c>
      <c r="N112">
        <f t="shared" si="22"/>
        <v>5322416.9121350264</v>
      </c>
      <c r="O112">
        <f t="shared" si="23"/>
        <v>0.1550362844107358</v>
      </c>
      <c r="P112">
        <f t="shared" si="28"/>
        <v>2.6165416356574649E-2</v>
      </c>
    </row>
    <row r="113" spans="1:16">
      <c r="A113">
        <f t="shared" si="15"/>
        <v>1.2679200000000001E-3</v>
      </c>
      <c r="B113" s="2">
        <v>1267.92</v>
      </c>
      <c r="C113" s="2">
        <f t="shared" si="16"/>
        <v>236444293015.33218</v>
      </c>
      <c r="D113" s="2">
        <f t="shared" si="17"/>
        <v>0.23644429301533218</v>
      </c>
      <c r="E113" s="2">
        <v>3.0746872354578634E-18</v>
      </c>
      <c r="F113">
        <f t="shared" si="24"/>
        <v>7.2255151744692002E-29</v>
      </c>
      <c r="G113">
        <f t="shared" si="25"/>
        <v>307.46872354578636</v>
      </c>
      <c r="H113">
        <f t="shared" si="26"/>
        <v>5.7337391131230736E-10</v>
      </c>
      <c r="I113">
        <f t="shared" si="18"/>
        <v>1.3474287234990574E-20</v>
      </c>
      <c r="J113" s="2">
        <f t="shared" si="27"/>
        <v>19625.28975445126</v>
      </c>
      <c r="K113">
        <f t="shared" si="19"/>
        <v>4.6119432015343215E-7</v>
      </c>
      <c r="L113">
        <f t="shared" si="20"/>
        <v>3660585345574.5254</v>
      </c>
      <c r="M113">
        <f t="shared" si="21"/>
        <v>86.023755621001342</v>
      </c>
      <c r="N113">
        <f t="shared" si="22"/>
        <v>5884834.3365358524</v>
      </c>
      <c r="O113">
        <f t="shared" si="23"/>
        <v>0.17900742984094367</v>
      </c>
      <c r="P113">
        <f t="shared" si="28"/>
        <v>3.1548426961706171E-2</v>
      </c>
    </row>
    <row r="114" spans="1:16">
      <c r="A114">
        <f t="shared" si="15"/>
        <v>1.3141699999999999E-3</v>
      </c>
      <c r="B114" s="2">
        <v>1314.17</v>
      </c>
      <c r="C114" s="2">
        <f t="shared" si="16"/>
        <v>228123034310.62952</v>
      </c>
      <c r="D114" s="2">
        <f t="shared" si="17"/>
        <v>0.22812303431062952</v>
      </c>
      <c r="E114" s="2">
        <v>3.2053960227343838E-18</v>
      </c>
      <c r="F114">
        <f t="shared" si="24"/>
        <v>7.532680831844535E-29</v>
      </c>
      <c r="G114">
        <f t="shared" si="25"/>
        <v>320.53960227343839</v>
      </c>
      <c r="H114">
        <f t="shared" si="26"/>
        <v>5.5641558312348568E-10</v>
      </c>
      <c r="I114">
        <f t="shared" si="18"/>
        <v>1.307576651311392E-20</v>
      </c>
      <c r="J114" s="2">
        <f t="shared" si="27"/>
        <v>21205.890905015</v>
      </c>
      <c r="K114">
        <f t="shared" si="19"/>
        <v>4.9833844807147421E-7</v>
      </c>
      <c r="L114">
        <f t="shared" si="20"/>
        <v>3681896610641.4458</v>
      </c>
      <c r="M114">
        <f t="shared" si="21"/>
        <v>86.524570350073972</v>
      </c>
      <c r="N114">
        <f t="shared" si="22"/>
        <v>6358792.9908836586</v>
      </c>
      <c r="O114">
        <f t="shared" si="23"/>
        <v>0.20048006701350549</v>
      </c>
      <c r="P114">
        <f t="shared" si="28"/>
        <v>3.6621619663732251E-2</v>
      </c>
    </row>
    <row r="115" spans="1:16">
      <c r="A115">
        <f t="shared" si="15"/>
        <v>1.37042E-3</v>
      </c>
      <c r="B115" s="2">
        <v>1370.42</v>
      </c>
      <c r="C115" s="2">
        <f t="shared" si="16"/>
        <v>218759539411.27536</v>
      </c>
      <c r="D115" s="2">
        <f t="shared" si="17"/>
        <v>0.21875953941127535</v>
      </c>
      <c r="E115" s="2">
        <v>3.3446907872771933E-18</v>
      </c>
      <c r="F115">
        <f t="shared" si="24"/>
        <v>7.8600235362735619E-29</v>
      </c>
      <c r="G115">
        <f t="shared" si="25"/>
        <v>334.46907872771931</v>
      </c>
      <c r="H115">
        <f t="shared" si="26"/>
        <v>5.3391151333014309E-10</v>
      </c>
      <c r="I115">
        <f t="shared" si="18"/>
        <v>1.2546920860444156E-20</v>
      </c>
      <c r="J115" s="2">
        <f t="shared" si="27"/>
        <v>23074.534175349399</v>
      </c>
      <c r="K115">
        <f t="shared" si="19"/>
        <v>5.4225156596445664E-7</v>
      </c>
      <c r="L115">
        <f t="shared" si="20"/>
        <v>3684204512073.9912</v>
      </c>
      <c r="M115">
        <f t="shared" si="21"/>
        <v>86.578806033738786</v>
      </c>
      <c r="N115">
        <f t="shared" si="22"/>
        <v>6919123.8811578443</v>
      </c>
      <c r="O115">
        <f t="shared" si="23"/>
        <v>0.22748342458723092</v>
      </c>
      <c r="P115">
        <f t="shared" si="28"/>
        <v>4.3332949026473791E-2</v>
      </c>
    </row>
    <row r="116" spans="1:16">
      <c r="A116">
        <f t="shared" si="15"/>
        <v>1.4E-3</v>
      </c>
      <c r="B116" s="2">
        <v>1400</v>
      </c>
      <c r="C116" s="2">
        <f t="shared" si="16"/>
        <v>214137462857.14285</v>
      </c>
      <c r="D116" s="2">
        <f t="shared" si="17"/>
        <v>0.21413746285714286</v>
      </c>
      <c r="E116" s="2">
        <v>3.4095831706916043E-18</v>
      </c>
      <c r="F116">
        <f t="shared" si="24"/>
        <v>8.0125206409094678E-29</v>
      </c>
      <c r="G116">
        <f t="shared" si="25"/>
        <v>340.95831706916044</v>
      </c>
      <c r="H116">
        <f t="shared" si="26"/>
        <v>5.2151392112308057E-10</v>
      </c>
      <c r="I116">
        <f t="shared" si="18"/>
        <v>1.225557743667744E-20</v>
      </c>
      <c r="J116" s="2">
        <f t="shared" si="27"/>
        <v>24029.935477111077</v>
      </c>
      <c r="K116">
        <f t="shared" si="19"/>
        <v>5.6470349708765155E-7</v>
      </c>
      <c r="L116">
        <f t="shared" si="20"/>
        <v>3676331770253.3369</v>
      </c>
      <c r="M116">
        <f t="shared" si="21"/>
        <v>86.393796600953422</v>
      </c>
      <c r="N116">
        <f t="shared" si="22"/>
        <v>7205610.2696965402</v>
      </c>
      <c r="O116">
        <f t="shared" si="23"/>
        <v>0.24201582657288379</v>
      </c>
      <c r="P116">
        <f t="shared" si="28"/>
        <v>4.7096279851083188E-2</v>
      </c>
    </row>
    <row r="117" spans="1:16">
      <c r="A117">
        <f t="shared" si="15"/>
        <v>1.41917E-3</v>
      </c>
      <c r="B117" s="2">
        <v>1419.17</v>
      </c>
      <c r="C117" s="2">
        <f t="shared" si="16"/>
        <v>211244916394.79413</v>
      </c>
      <c r="D117" s="2">
        <f t="shared" si="17"/>
        <v>0.21124491639479412</v>
      </c>
      <c r="E117" s="2">
        <v>3.4486697307168269E-18</v>
      </c>
      <c r="F117">
        <f t="shared" si="24"/>
        <v>8.1043740591443758E-29</v>
      </c>
      <c r="G117">
        <f t="shared" si="25"/>
        <v>344.86697307168271</v>
      </c>
      <c r="H117">
        <f t="shared" si="26"/>
        <v>5.1333804191078811E-10</v>
      </c>
      <c r="I117">
        <f t="shared" si="18"/>
        <v>1.2063444270637709E-20</v>
      </c>
      <c r="J117" s="2">
        <f t="shared" si="27"/>
        <v>24638.21878796861</v>
      </c>
      <c r="K117">
        <f t="shared" si="19"/>
        <v>5.7899815523138617E-7</v>
      </c>
      <c r="L117">
        <f t="shared" si="20"/>
        <v>3668247477031.8892</v>
      </c>
      <c r="M117">
        <f t="shared" si="21"/>
        <v>86.203815710249387</v>
      </c>
      <c r="N117">
        <f t="shared" si="22"/>
        <v>7388009.9467899287</v>
      </c>
      <c r="O117">
        <f t="shared" si="23"/>
        <v>0.25153988415961037</v>
      </c>
      <c r="P117">
        <f t="shared" si="28"/>
        <v>4.9619922178988404E-2</v>
      </c>
    </row>
    <row r="118" spans="1:16">
      <c r="A118">
        <f t="shared" si="15"/>
        <v>1.4774999999999999E-3</v>
      </c>
      <c r="B118" s="2">
        <v>1477.5</v>
      </c>
      <c r="C118" s="2">
        <f t="shared" si="16"/>
        <v>202905210152.28427</v>
      </c>
      <c r="D118" s="2">
        <f t="shared" si="17"/>
        <v>0.20290521015228427</v>
      </c>
      <c r="E118" s="2">
        <v>3.5538443218440585E-18</v>
      </c>
      <c r="F118">
        <f t="shared" si="24"/>
        <v>8.3515343541475982E-29</v>
      </c>
      <c r="G118">
        <f t="shared" si="25"/>
        <v>355.38443218440585</v>
      </c>
      <c r="H118">
        <f t="shared" si="26"/>
        <v>4.8804976580187537E-10</v>
      </c>
      <c r="I118">
        <f t="shared" si="18"/>
        <v>1.1469169768002302E-20</v>
      </c>
      <c r="J118" s="2">
        <f t="shared" si="27"/>
        <v>26433.165138284425</v>
      </c>
      <c r="K118">
        <f t="shared" si="19"/>
        <v>6.2117939546291069E-7</v>
      </c>
      <c r="L118">
        <f t="shared" si="20"/>
        <v>3630883831683.1362</v>
      </c>
      <c r="M118">
        <f t="shared" si="21"/>
        <v>85.325770044553707</v>
      </c>
      <c r="N118">
        <f t="shared" si="22"/>
        <v>7926242.0975882336</v>
      </c>
      <c r="O118">
        <f t="shared" si="23"/>
        <v>0.28095695402362952</v>
      </c>
      <c r="P118">
        <f t="shared" si="28"/>
        <v>5.7700832040217843E-2</v>
      </c>
    </row>
    <row r="119" spans="1:16">
      <c r="A119">
        <f t="shared" si="15"/>
        <v>1.5412499999999999E-3</v>
      </c>
      <c r="B119" s="2">
        <v>1541.25</v>
      </c>
      <c r="C119" s="2">
        <f t="shared" si="16"/>
        <v>194512537226.27737</v>
      </c>
      <c r="D119" s="2">
        <f t="shared" si="17"/>
        <v>0.19451253722627737</v>
      </c>
      <c r="E119" s="2">
        <v>3.6465747818062253E-18</v>
      </c>
      <c r="F119">
        <f t="shared" si="24"/>
        <v>8.5694509402202523E-29</v>
      </c>
      <c r="G119">
        <f t="shared" si="25"/>
        <v>364.65747818062255</v>
      </c>
      <c r="H119">
        <f t="shared" si="26"/>
        <v>4.6021379594127349E-10</v>
      </c>
      <c r="I119">
        <f t="shared" si="18"/>
        <v>1.0815024460784102E-20</v>
      </c>
      <c r="J119" s="2">
        <f t="shared" si="27"/>
        <v>28293.162511661612</v>
      </c>
      <c r="K119">
        <f t="shared" si="19"/>
        <v>6.648893347725862E-7</v>
      </c>
      <c r="L119">
        <f t="shared" si="20"/>
        <v>3571523227565.396</v>
      </c>
      <c r="M119">
        <f t="shared" si="21"/>
        <v>83.930795847786811</v>
      </c>
      <c r="N119">
        <f t="shared" si="22"/>
        <v>8483980.4314252622</v>
      </c>
      <c r="O119">
        <f t="shared" si="23"/>
        <v>0.31370230576826785</v>
      </c>
      <c r="P119">
        <f t="shared" si="28"/>
        <v>6.7205621348382649E-2</v>
      </c>
    </row>
    <row r="120" spans="1:16">
      <c r="A120">
        <f t="shared" si="15"/>
        <v>1.6116699999999999E-3</v>
      </c>
      <c r="B120" s="2">
        <v>1611.67</v>
      </c>
      <c r="C120" s="2">
        <f t="shared" si="16"/>
        <v>186013543715.52487</v>
      </c>
      <c r="D120" s="2">
        <f t="shared" si="17"/>
        <v>0.18601354371552486</v>
      </c>
      <c r="E120" s="2">
        <v>3.7245619538348779E-18</v>
      </c>
      <c r="F120">
        <f t="shared" si="24"/>
        <v>8.7527207988285071E-29</v>
      </c>
      <c r="G120">
        <f t="shared" si="25"/>
        <v>372.4561953834878</v>
      </c>
      <c r="H120">
        <f t="shared" si="26"/>
        <v>4.2987644357768321E-10</v>
      </c>
      <c r="I120">
        <f t="shared" si="18"/>
        <v>1.0102096663353355E-20</v>
      </c>
      <c r="J120" s="2">
        <f t="shared" si="27"/>
        <v>30218.618427867063</v>
      </c>
      <c r="K120">
        <f t="shared" si="19"/>
        <v>7.1013754987516146E-7</v>
      </c>
      <c r="L120">
        <f t="shared" si="20"/>
        <v>3488514440185.522</v>
      </c>
      <c r="M120">
        <f t="shared" si="21"/>
        <v>81.980089344359769</v>
      </c>
      <c r="N120">
        <f t="shared" si="22"/>
        <v>9061347.1470734663</v>
      </c>
      <c r="O120">
        <f t="shared" si="23"/>
        <v>0.35035946453041067</v>
      </c>
      <c r="P120">
        <f t="shared" si="28"/>
        <v>7.8488273509762049E-2</v>
      </c>
    </row>
    <row r="121" spans="1:16">
      <c r="A121">
        <f t="shared" si="15"/>
        <v>1.6825E-3</v>
      </c>
      <c r="B121" s="2">
        <v>1682.5</v>
      </c>
      <c r="C121" s="2">
        <f t="shared" si="16"/>
        <v>178182732838.03864</v>
      </c>
      <c r="D121" s="2">
        <f t="shared" si="17"/>
        <v>0.17818273283803862</v>
      </c>
      <c r="E121" s="2">
        <v>3.7799764938223222E-18</v>
      </c>
      <c r="F121">
        <f t="shared" si="24"/>
        <v>8.882944970883485E-29</v>
      </c>
      <c r="G121">
        <f t="shared" si="25"/>
        <v>377.99764938223223</v>
      </c>
      <c r="H121">
        <f t="shared" si="26"/>
        <v>4.0031295199572589E-10</v>
      </c>
      <c r="I121">
        <f t="shared" si="18"/>
        <v>9.4073545947217295E-21</v>
      </c>
      <c r="J121" s="2">
        <f t="shared" si="27"/>
        <v>32016.028086952421</v>
      </c>
      <c r="K121">
        <f t="shared" si="19"/>
        <v>7.5237667786414151E-7</v>
      </c>
      <c r="L121">
        <f t="shared" si="20"/>
        <v>3391372314868.1206</v>
      </c>
      <c r="M121">
        <f t="shared" si="21"/>
        <v>79.697249399400832</v>
      </c>
      <c r="N121">
        <f t="shared" si="22"/>
        <v>9600317.9450056441</v>
      </c>
      <c r="O121">
        <f t="shared" si="23"/>
        <v>0.3875124430859801</v>
      </c>
      <c r="P121">
        <f t="shared" si="28"/>
        <v>9.062656628341044E-2</v>
      </c>
    </row>
    <row r="122" spans="1:16">
      <c r="A122">
        <f t="shared" si="15"/>
        <v>1.77042E-3</v>
      </c>
      <c r="B122" s="2">
        <v>1770.42</v>
      </c>
      <c r="C122" s="2">
        <f t="shared" si="16"/>
        <v>169334083437.82831</v>
      </c>
      <c r="D122" s="2">
        <f t="shared" si="17"/>
        <v>0.1693340834378283</v>
      </c>
      <c r="E122" s="2">
        <v>3.8209231950903514E-18</v>
      </c>
      <c r="F122">
        <f t="shared" si="24"/>
        <v>8.9791697211425286E-29</v>
      </c>
      <c r="G122">
        <f t="shared" si="25"/>
        <v>382.09231950903512</v>
      </c>
      <c r="H122">
        <f t="shared" si="26"/>
        <v>3.6545708200707359E-10</v>
      </c>
      <c r="I122">
        <f t="shared" si="18"/>
        <v>8.5882416305869279E-21</v>
      </c>
      <c r="J122" s="2">
        <f t="shared" si="27"/>
        <v>34053.981462306874</v>
      </c>
      <c r="K122">
        <f t="shared" si="19"/>
        <v>8.0026858331933656E-7</v>
      </c>
      <c r="L122">
        <f t="shared" si="20"/>
        <v>3257867709602.0303</v>
      </c>
      <c r="M122">
        <f t="shared" si="21"/>
        <v>76.559891175647707</v>
      </c>
      <c r="N122">
        <f t="shared" si="22"/>
        <v>10211418.1198107</v>
      </c>
      <c r="O122">
        <f t="shared" si="23"/>
        <v>0.43371788319857463</v>
      </c>
      <c r="P122">
        <f t="shared" si="28"/>
        <v>0.10673293125336644</v>
      </c>
    </row>
    <row r="123" spans="1:16">
      <c r="A123">
        <f t="shared" si="15"/>
        <v>1.8387499999999999E-3</v>
      </c>
      <c r="B123" s="2">
        <v>1838.75</v>
      </c>
      <c r="C123" s="2">
        <f t="shared" si="16"/>
        <v>163041440108.76953</v>
      </c>
      <c r="D123" s="2">
        <f t="shared" si="17"/>
        <v>0.16304144010876953</v>
      </c>
      <c r="E123" s="2">
        <v>3.8344771026262296E-18</v>
      </c>
      <c r="F123">
        <f t="shared" si="24"/>
        <v>9.0110214046062802E-29</v>
      </c>
      <c r="G123">
        <f t="shared" si="25"/>
        <v>383.44771026262299</v>
      </c>
      <c r="H123">
        <f t="shared" si="26"/>
        <v>3.4000199531001097E-10</v>
      </c>
      <c r="I123">
        <f t="shared" si="18"/>
        <v>7.9900470790371468E-21</v>
      </c>
      <c r="J123" s="2">
        <f t="shared" si="27"/>
        <v>35493.768691742407</v>
      </c>
      <c r="K123">
        <f t="shared" si="19"/>
        <v>8.3410358401248586E-7</v>
      </c>
      <c r="L123">
        <f t="shared" si="20"/>
        <v>3147928846305.5518</v>
      </c>
      <c r="M123">
        <f t="shared" si="21"/>
        <v>73.976327888180464</v>
      </c>
      <c r="N123">
        <f t="shared" si="22"/>
        <v>10643152.347997891</v>
      </c>
      <c r="O123">
        <f t="shared" si="23"/>
        <v>0.46950251998249026</v>
      </c>
      <c r="P123">
        <f t="shared" si="28"/>
        <v>0.11999838844787473</v>
      </c>
    </row>
    <row r="124" spans="1:16">
      <c r="A124">
        <f t="shared" si="15"/>
        <v>1.9120799999999998E-3</v>
      </c>
      <c r="B124" s="2">
        <v>1912.08</v>
      </c>
      <c r="C124" s="2">
        <f t="shared" si="16"/>
        <v>156788653194.42703</v>
      </c>
      <c r="D124" s="2">
        <f t="shared" si="17"/>
        <v>0.15678865319442703</v>
      </c>
      <c r="E124" s="2">
        <v>3.8339554399372546E-18</v>
      </c>
      <c r="F124">
        <f t="shared" si="24"/>
        <v>9.0097954972581526E-29</v>
      </c>
      <c r="G124">
        <f t="shared" si="25"/>
        <v>383.39554399372548</v>
      </c>
      <c r="H124">
        <f t="shared" si="26"/>
        <v>3.1438052269528944E-10</v>
      </c>
      <c r="I124">
        <f t="shared" si="18"/>
        <v>7.3879424583297681E-21</v>
      </c>
      <c r="J124" s="2">
        <f t="shared" si="27"/>
        <v>36904.251400196437</v>
      </c>
      <c r="K124">
        <f t="shared" si="19"/>
        <v>8.6724992844625835E-7</v>
      </c>
      <c r="L124">
        <f t="shared" si="20"/>
        <v>3026791086783.5293</v>
      </c>
      <c r="M124">
        <f t="shared" si="21"/>
        <v>71.129590539412931</v>
      </c>
      <c r="N124">
        <f t="shared" si="22"/>
        <v>11066099.330063095</v>
      </c>
      <c r="O124">
        <f t="shared" si="23"/>
        <v>0.50762801990566431</v>
      </c>
      <c r="P124">
        <f t="shared" si="28"/>
        <v>0.13491692841786992</v>
      </c>
    </row>
    <row r="125" spans="1:16">
      <c r="A125">
        <f t="shared" si="15"/>
        <v>1.99E-3</v>
      </c>
      <c r="B125" s="2">
        <v>1990</v>
      </c>
      <c r="C125" s="2">
        <f t="shared" si="16"/>
        <v>150649471356.78391</v>
      </c>
      <c r="D125" s="2">
        <f t="shared" si="17"/>
        <v>0.15064947135678391</v>
      </c>
      <c r="E125" s="2">
        <v>3.8189283911038939E-18</v>
      </c>
      <c r="F125">
        <f t="shared" si="24"/>
        <v>8.9744819316633193E-29</v>
      </c>
      <c r="G125">
        <f t="shared" si="25"/>
        <v>381.89283911038939</v>
      </c>
      <c r="H125">
        <f t="shared" si="26"/>
        <v>2.8910529812523366E-10</v>
      </c>
      <c r="I125">
        <f t="shared" si="18"/>
        <v>6.7939746668647642E-21</v>
      </c>
      <c r="J125" s="2">
        <f t="shared" si="27"/>
        <v>38257.613172137462</v>
      </c>
      <c r="K125">
        <f t="shared" si="19"/>
        <v>8.9905393084018062E-7</v>
      </c>
      <c r="L125">
        <f t="shared" si="20"/>
        <v>2896875847277.0137</v>
      </c>
      <c r="M125">
        <f t="shared" si="21"/>
        <v>68.076582411009824</v>
      </c>
      <c r="N125">
        <f t="shared" si="22"/>
        <v>11471918.042801702</v>
      </c>
      <c r="O125">
        <f t="shared" si="23"/>
        <v>0.54768907152514601</v>
      </c>
      <c r="P125">
        <f t="shared" si="28"/>
        <v>0.15149627407457061</v>
      </c>
    </row>
    <row r="126" spans="1:16">
      <c r="A126">
        <f t="shared" si="15"/>
        <v>2.06083E-3</v>
      </c>
      <c r="B126" s="2">
        <v>2060.83</v>
      </c>
      <c r="C126" s="2">
        <f t="shared" si="16"/>
        <v>145471702178.24857</v>
      </c>
      <c r="D126" s="2">
        <f t="shared" si="17"/>
        <v>0.14547170217824856</v>
      </c>
      <c r="E126" s="2">
        <v>3.7944328383513292E-18</v>
      </c>
      <c r="F126">
        <f t="shared" si="24"/>
        <v>8.9169173813313204E-29</v>
      </c>
      <c r="G126">
        <f t="shared" si="25"/>
        <v>379.44328383513295</v>
      </c>
      <c r="H126">
        <f t="shared" si="26"/>
        <v>2.6784480223793855E-10</v>
      </c>
      <c r="I126">
        <f t="shared" si="18"/>
        <v>6.2943530016793134E-21</v>
      </c>
      <c r="J126" s="2">
        <f t="shared" si="27"/>
        <v>39365.186950506752</v>
      </c>
      <c r="K126">
        <f t="shared" si="19"/>
        <v>9.2508191524835661E-7</v>
      </c>
      <c r="L126">
        <f t="shared" si="20"/>
        <v>2779368599174.2744</v>
      </c>
      <c r="M126">
        <f t="shared" si="21"/>
        <v>65.315162080595442</v>
      </c>
      <c r="N126">
        <f t="shared" si="22"/>
        <v>11804034.831024718</v>
      </c>
      <c r="O126">
        <f t="shared" si="23"/>
        <v>0.58360313114991758</v>
      </c>
      <c r="P126">
        <f t="shared" si="28"/>
        <v>0.16717625086670815</v>
      </c>
    </row>
    <row r="127" spans="1:16">
      <c r="A127">
        <f t="shared" si="15"/>
        <v>2.0999999999999999E-3</v>
      </c>
      <c r="B127" s="2">
        <v>2100</v>
      </c>
      <c r="C127" s="2">
        <f t="shared" si="16"/>
        <v>142758308571.42856</v>
      </c>
      <c r="D127" s="2">
        <f t="shared" si="17"/>
        <v>0.14275830857142854</v>
      </c>
      <c r="E127" s="2">
        <v>3.7771029869565953E-18</v>
      </c>
      <c r="F127">
        <f t="shared" si="24"/>
        <v>8.8761922295890821E-29</v>
      </c>
      <c r="G127">
        <f t="shared" si="25"/>
        <v>377.71029869565956</v>
      </c>
      <c r="H127">
        <f t="shared" si="26"/>
        <v>2.5676801605619723E-10</v>
      </c>
      <c r="I127">
        <f t="shared" si="18"/>
        <v>6.034048520242832E-21</v>
      </c>
      <c r="J127" s="2">
        <f t="shared" si="27"/>
        <v>39930.192280025803</v>
      </c>
      <c r="K127">
        <f t="shared" si="19"/>
        <v>9.3835954080654749E-7</v>
      </c>
      <c r="L127">
        <f t="shared" si="20"/>
        <v>2715069656183.354</v>
      </c>
      <c r="M127">
        <f t="shared" si="21"/>
        <v>63.804136920308821</v>
      </c>
      <c r="N127">
        <f t="shared" si="22"/>
        <v>11973457.183768589</v>
      </c>
      <c r="O127">
        <f t="shared" si="23"/>
        <v>0.60323123832788716</v>
      </c>
      <c r="P127">
        <f t="shared" si="28"/>
        <v>0.17608319846791026</v>
      </c>
    </row>
    <row r="128" spans="1:16">
      <c r="A128">
        <f t="shared" si="15"/>
        <v>3.0000000000000001E-3</v>
      </c>
      <c r="B128" s="2">
        <v>3000</v>
      </c>
      <c r="C128" s="2">
        <f t="shared" si="16"/>
        <v>99930816000</v>
      </c>
      <c r="D128" s="2">
        <f t="shared" si="17"/>
        <v>9.9930815999999992E-2</v>
      </c>
      <c r="E128" s="2">
        <v>3.0584750105315899E-18</v>
      </c>
      <c r="F128">
        <f t="shared" si="24"/>
        <v>7.1874164449900534E-29</v>
      </c>
      <c r="G128">
        <f t="shared" si="25"/>
        <v>305.84750105315896</v>
      </c>
      <c r="H128">
        <f t="shared" si="26"/>
        <v>1.0187863450601011E-10</v>
      </c>
      <c r="I128">
        <f t="shared" si="18"/>
        <v>2.3941479675989169E-21</v>
      </c>
      <c r="J128" s="2">
        <f t="shared" si="27"/>
        <v>46190.160507334469</v>
      </c>
      <c r="K128">
        <f t="shared" si="19"/>
        <v>1.0854687976327243E-6</v>
      </c>
      <c r="L128">
        <f t="shared" si="20"/>
        <v>1538952182870.2434</v>
      </c>
      <c r="M128">
        <f t="shared" si="21"/>
        <v>36.16537629745072</v>
      </c>
      <c r="N128">
        <f t="shared" si="22"/>
        <v>13850569.64583219</v>
      </c>
      <c r="O128">
        <f t="shared" si="23"/>
        <v>0.99685927330379898</v>
      </c>
      <c r="P128">
        <f t="shared" si="28"/>
        <v>0.41569031696768416</v>
      </c>
    </row>
    <row r="129" spans="1:16">
      <c r="A129">
        <f t="shared" si="15"/>
        <v>3.3333333333333335E-3</v>
      </c>
      <c r="B129" s="2">
        <v>3333.3333333333335</v>
      </c>
      <c r="C129" s="2">
        <f t="shared" si="16"/>
        <v>89937734400</v>
      </c>
      <c r="D129" s="2">
        <f t="shared" si="17"/>
        <v>8.9937734399999997E-2</v>
      </c>
      <c r="E129" s="2">
        <v>2.7696087274016059E-18</v>
      </c>
      <c r="F129">
        <f t="shared" si="24"/>
        <v>6.5085806635557175E-29</v>
      </c>
      <c r="G129">
        <f t="shared" si="25"/>
        <v>276.9608727401606</v>
      </c>
      <c r="H129">
        <f t="shared" si="26"/>
        <v>7.4727700235090288E-11</v>
      </c>
      <c r="I129">
        <f t="shared" si="18"/>
        <v>1.7561009971195498E-21</v>
      </c>
      <c r="J129" s="2">
        <f t="shared" si="27"/>
        <v>46475.111950557563</v>
      </c>
      <c r="K129">
        <f t="shared" si="19"/>
        <v>1.0921651567070766E-6</v>
      </c>
      <c r="L129">
        <f t="shared" si="20"/>
        <v>1254241360105.5771</v>
      </c>
      <c r="M129">
        <f t="shared" si="21"/>
        <v>29.474671962481061</v>
      </c>
      <c r="N129">
        <f t="shared" si="22"/>
        <v>13936015.112284193</v>
      </c>
      <c r="O129">
        <f t="shared" si="23"/>
        <v>1.1144544354344561</v>
      </c>
      <c r="P129">
        <f t="shared" si="28"/>
        <v>0.51636388841796466</v>
      </c>
    </row>
    <row r="130" spans="1:16">
      <c r="A130">
        <f t="shared" si="15"/>
        <v>3.7499999999999999E-3</v>
      </c>
      <c r="B130" s="2">
        <v>3750</v>
      </c>
      <c r="C130" s="2">
        <f t="shared" si="16"/>
        <v>79944652800</v>
      </c>
      <c r="D130" s="2">
        <f t="shared" si="17"/>
        <v>7.9944652800000002E-2</v>
      </c>
      <c r="E130" s="2">
        <v>2.4408881729594794E-18</v>
      </c>
      <c r="F130">
        <f t="shared" si="24"/>
        <v>5.7360873423194788E-29</v>
      </c>
      <c r="G130">
        <f t="shared" si="25"/>
        <v>244.08881729594793</v>
      </c>
      <c r="H130">
        <f t="shared" si="26"/>
        <v>5.2036255336232516E-11</v>
      </c>
      <c r="I130">
        <f t="shared" si="18"/>
        <v>1.2228520293658813E-21</v>
      </c>
      <c r="J130" s="2">
        <f t="shared" si="27"/>
        <v>46078.934804610617</v>
      </c>
      <c r="K130">
        <f t="shared" si="19"/>
        <v>1.0828549935568034E-6</v>
      </c>
      <c r="L130">
        <f t="shared" si="20"/>
        <v>982557691394.11841</v>
      </c>
      <c r="M130">
        <f t="shared" si="21"/>
        <v>23.090105747761783</v>
      </c>
      <c r="N130">
        <f t="shared" si="22"/>
        <v>13817217.535229789</v>
      </c>
      <c r="O130">
        <f t="shared" si="23"/>
        <v>1.2430735507144275</v>
      </c>
      <c r="P130">
        <f t="shared" si="28"/>
        <v>0.64795208830989526</v>
      </c>
    </row>
    <row r="131" spans="1:16">
      <c r="A131">
        <f t="shared" si="15"/>
        <v>4.2857142857142851E-3</v>
      </c>
      <c r="B131" s="2">
        <v>4285.7142857142853</v>
      </c>
      <c r="C131" s="2">
        <f t="shared" si="16"/>
        <v>69951571200</v>
      </c>
      <c r="D131" s="2">
        <f t="shared" si="17"/>
        <v>6.9951571199999993E-2</v>
      </c>
      <c r="E131" s="2">
        <v>2.0795994901097353E-18</v>
      </c>
      <c r="F131">
        <f t="shared" si="24"/>
        <v>4.887058917512532E-29</v>
      </c>
      <c r="G131">
        <f t="shared" si="25"/>
        <v>207.95994901097353</v>
      </c>
      <c r="H131">
        <f t="shared" si="26"/>
        <v>3.3943292086642137E-11</v>
      </c>
      <c r="I131">
        <f t="shared" si="18"/>
        <v>7.9766738292960331E-22</v>
      </c>
      <c r="J131" s="2">
        <f t="shared" si="27"/>
        <v>44866.913790311293</v>
      </c>
      <c r="K131">
        <f t="shared" si="19"/>
        <v>1.0543724990461342E-6</v>
      </c>
      <c r="L131">
        <f t="shared" si="20"/>
        <v>732483644511.05151</v>
      </c>
      <c r="M131">
        <f t="shared" si="21"/>
        <v>17.213365646009709</v>
      </c>
      <c r="N131">
        <f t="shared" si="22"/>
        <v>13453781.225713188</v>
      </c>
      <c r="O131">
        <f t="shared" si="23"/>
        <v>1.3832877758608948</v>
      </c>
      <c r="P131">
        <f t="shared" si="28"/>
        <v>0.82404428933427587</v>
      </c>
    </row>
    <row r="132" spans="1:16">
      <c r="A132">
        <f t="shared" si="15"/>
        <v>5.0000000000000001E-3</v>
      </c>
      <c r="B132" s="2">
        <v>5000</v>
      </c>
      <c r="C132" s="2">
        <f t="shared" si="16"/>
        <v>59958489600</v>
      </c>
      <c r="D132" s="2">
        <f t="shared" si="17"/>
        <v>5.9958489599999998E-2</v>
      </c>
      <c r="E132" s="2">
        <v>1.6961344969719764E-18</v>
      </c>
      <c r="F132">
        <f t="shared" si="24"/>
        <v>3.985916162294372E-29</v>
      </c>
      <c r="G132">
        <f t="shared" si="25"/>
        <v>169.61344969719764</v>
      </c>
      <c r="H132">
        <f t="shared" si="26"/>
        <v>2.0339532519379096E-11</v>
      </c>
      <c r="I132">
        <f t="shared" si="18"/>
        <v>4.7797902552679811E-22</v>
      </c>
      <c r="J132" s="2">
        <f t="shared" si="27"/>
        <v>42692.695099894241</v>
      </c>
      <c r="K132">
        <f t="shared" si="19"/>
        <v>1.0032783586111199E-6</v>
      </c>
      <c r="L132">
        <f t="shared" si="20"/>
        <v>512072822743.68317</v>
      </c>
      <c r="M132">
        <f t="shared" si="21"/>
        <v>12.033711334476553</v>
      </c>
      <c r="N132">
        <f t="shared" si="22"/>
        <v>12801820.568592079</v>
      </c>
      <c r="O132">
        <f t="shared" si="23"/>
        <v>1.5356304079055756</v>
      </c>
      <c r="P132">
        <f t="shared" si="28"/>
        <v>1.067263133494375</v>
      </c>
    </row>
    <row r="133" spans="1:16">
      <c r="A133">
        <f t="shared" si="15"/>
        <v>6.0000000000000001E-3</v>
      </c>
      <c r="B133" s="2">
        <v>6000</v>
      </c>
      <c r="C133" s="2">
        <f t="shared" si="16"/>
        <v>49965408000</v>
      </c>
      <c r="D133" s="2">
        <f t="shared" si="17"/>
        <v>4.9965407999999996E-2</v>
      </c>
      <c r="E133" s="2">
        <v>1.3043977093603052E-18</v>
      </c>
      <c r="F133">
        <f t="shared" si="24"/>
        <v>3.0653346896020943E-29</v>
      </c>
      <c r="G133">
        <f t="shared" si="25"/>
        <v>130.43977093603053</v>
      </c>
      <c r="H133">
        <f t="shared" si="26"/>
        <v>1.0862460623742178E-11</v>
      </c>
      <c r="I133">
        <f t="shared" si="18"/>
        <v>2.5526783070420336E-22</v>
      </c>
      <c r="J133" s="2">
        <f t="shared" si="27"/>
        <v>39398.94186042728</v>
      </c>
      <c r="K133">
        <f t="shared" si="19"/>
        <v>9.2587515565027765E-7</v>
      </c>
      <c r="L133">
        <f t="shared" si="20"/>
        <v>328171015823.02649</v>
      </c>
      <c r="M133">
        <f t="shared" si="21"/>
        <v>7.7120188718411224</v>
      </c>
      <c r="N133">
        <f t="shared" si="22"/>
        <v>11814156.569628954</v>
      </c>
      <c r="O133">
        <f t="shared" si="23"/>
        <v>1.7005873164561838</v>
      </c>
      <c r="P133">
        <f t="shared" si="28"/>
        <v>1.4182898219244573</v>
      </c>
    </row>
    <row r="134" spans="1:16">
      <c r="A134">
        <f t="shared" si="15"/>
        <v>7.4999999999999997E-3</v>
      </c>
      <c r="B134" s="2">
        <v>7500</v>
      </c>
      <c r="C134" s="2">
        <f t="shared" si="16"/>
        <v>39972326400</v>
      </c>
      <c r="D134" s="2">
        <f t="shared" si="17"/>
        <v>3.9972326400000001E-2</v>
      </c>
      <c r="E134" s="2">
        <v>9.2219455580860875E-19</v>
      </c>
      <c r="F134">
        <f t="shared" si="24"/>
        <v>2.1671572574814182E-29</v>
      </c>
      <c r="G134">
        <f t="shared" si="25"/>
        <v>92.219455580860881</v>
      </c>
      <c r="H134">
        <f t="shared" si="26"/>
        <v>4.9149682385446296E-12</v>
      </c>
      <c r="I134">
        <f t="shared" si="18"/>
        <v>1.1550175634156811E-22</v>
      </c>
      <c r="J134" s="2">
        <f t="shared" si="27"/>
        <v>34818.26270045773</v>
      </c>
      <c r="K134">
        <f t="shared" si="19"/>
        <v>8.1822919284129586E-7</v>
      </c>
      <c r="L134">
        <f t="shared" si="20"/>
        <v>185610583026.60986</v>
      </c>
      <c r="M134">
        <f t="shared" si="21"/>
        <v>4.3618487011253313</v>
      </c>
      <c r="N134">
        <f t="shared" si="22"/>
        <v>10440595.295246804</v>
      </c>
      <c r="O134">
        <f t="shared" si="23"/>
        <v>1.8785877593869631</v>
      </c>
      <c r="P134">
        <f t="shared" si="28"/>
        <v>1.9584277391609088</v>
      </c>
    </row>
    <row r="135" spans="1:16">
      <c r="A135">
        <f t="shared" ref="A135:A144" si="29">B135*0.000001</f>
        <v>0.01</v>
      </c>
      <c r="B135" s="2">
        <v>10000</v>
      </c>
      <c r="C135" s="2">
        <f t="shared" ref="C135:C144" si="30">wavelength_to_freq(B135)</f>
        <v>29979244800</v>
      </c>
      <c r="D135" s="2">
        <f t="shared" ref="D135:D144" si="31">C135*0.000000000001</f>
        <v>2.9979244799999999E-2</v>
      </c>
      <c r="E135" s="2">
        <v>5.7158796847875227E-19</v>
      </c>
      <c r="F135">
        <f t="shared" si="24"/>
        <v>1.3432317577407938E-29</v>
      </c>
      <c r="G135">
        <f t="shared" si="25"/>
        <v>57.15879684787523</v>
      </c>
      <c r="H135">
        <f t="shared" si="26"/>
        <v>1.7135775631759199E-12</v>
      </c>
      <c r="I135">
        <f t="shared" ref="I135:I144" si="32">sr_to_arcsec2(H135)</f>
        <v>4.0269073688445552E-23</v>
      </c>
      <c r="J135" s="2">
        <f t="shared" si="27"/>
        <v>28774.405454987347</v>
      </c>
      <c r="K135">
        <f t="shared" ref="K135:K144" si="33">sr_to_arcsec2(J135)</f>
        <v>6.7619854420861044E-7</v>
      </c>
      <c r="L135">
        <f t="shared" ref="L135:L144" si="34" xml:space="preserve"> H135 * B135 / (6.62E-34 * 300000000 * 1000000)</f>
        <v>86282858165.957687</v>
      </c>
      <c r="M135">
        <f t="shared" ref="M135:M144" si="35">L135*0.0000000000235</f>
        <v>2.0276471669000058</v>
      </c>
      <c r="N135">
        <f t="shared" ref="N135:N144" si="36">L135*A135^2</f>
        <v>8628285.8165957686</v>
      </c>
      <c r="O135">
        <f t="shared" ref="O135:O144" si="37">Inu_to_Antenna_Temperature(E135,C135)</f>
        <v>2.0699959036407662</v>
      </c>
      <c r="P135">
        <f t="shared" si="28"/>
        <v>2.8772943060606653</v>
      </c>
    </row>
    <row r="136" spans="1:16">
      <c r="A136">
        <f t="shared" si="29"/>
        <v>1.4999999999999999E-2</v>
      </c>
      <c r="B136" s="2">
        <v>15000</v>
      </c>
      <c r="C136" s="2">
        <f t="shared" si="30"/>
        <v>19986163200</v>
      </c>
      <c r="D136" s="2">
        <f t="shared" si="31"/>
        <v>1.99861632E-2</v>
      </c>
      <c r="E136" s="2">
        <v>2.7921079656273913E-19</v>
      </c>
      <c r="F136">
        <f t="shared" ref="F136:F144" si="38">sr_to_arcsec2(E136)</f>
        <v>6.5614538746386656E-30</v>
      </c>
      <c r="G136">
        <f t="shared" ref="G136:G144" si="39">Inu_to_MJy(E136)</f>
        <v>27.921079656273914</v>
      </c>
      <c r="H136">
        <f t="shared" ref="H136:H144" si="40">Inu_to_Ilambda(E136,B136)</f>
        <v>3.7202350315366018E-13</v>
      </c>
      <c r="I136">
        <f t="shared" si="32"/>
        <v>8.7425525311867133E-24</v>
      </c>
      <c r="J136" s="2">
        <f t="shared" si="27"/>
        <v>21083.696064549593</v>
      </c>
      <c r="K136">
        <f t="shared" si="33"/>
        <v>4.9546686925252101E-7</v>
      </c>
      <c r="L136">
        <f t="shared" si="34"/>
        <v>28098451899.823273</v>
      </c>
      <c r="M136">
        <f t="shared" si="35"/>
        <v>0.66031361964584689</v>
      </c>
      <c r="N136">
        <f t="shared" si="36"/>
        <v>6322151.6774602365</v>
      </c>
      <c r="O136">
        <f t="shared" si="37"/>
        <v>2.2751033668878176</v>
      </c>
      <c r="P136">
        <f t="shared" si="28"/>
        <v>4.7435905199610993</v>
      </c>
    </row>
    <row r="137" spans="1:16">
      <c r="A137">
        <f t="shared" si="29"/>
        <v>0.03</v>
      </c>
      <c r="B137" s="2">
        <v>30000</v>
      </c>
      <c r="C137" s="2">
        <f t="shared" si="30"/>
        <v>9993081600</v>
      </c>
      <c r="D137" s="2">
        <f t="shared" si="31"/>
        <v>9.9930816000000002E-3</v>
      </c>
      <c r="E137" s="2">
        <v>7.6522467032927212E-20</v>
      </c>
      <c r="F137">
        <f t="shared" si="38"/>
        <v>1.7982780178677202E-30</v>
      </c>
      <c r="G137">
        <f t="shared" si="39"/>
        <v>7.6522467032927208</v>
      </c>
      <c r="H137">
        <f t="shared" si="40"/>
        <v>2.5489841909778386E-14</v>
      </c>
      <c r="I137">
        <f t="shared" si="32"/>
        <v>5.990112990679463E-25</v>
      </c>
      <c r="J137" s="2">
        <f t="shared" ref="J137:J144" si="41">Inu_to_Nnu(E137,C137)</f>
        <v>11556.69090804105</v>
      </c>
      <c r="K137">
        <f t="shared" si="33"/>
        <v>2.7158224277164922E-7</v>
      </c>
      <c r="L137">
        <f t="shared" si="34"/>
        <v>3850429291.5073085</v>
      </c>
      <c r="M137">
        <f t="shared" si="35"/>
        <v>9.0485088350421752E-2</v>
      </c>
      <c r="N137">
        <f t="shared" si="36"/>
        <v>3465386.3623565775</v>
      </c>
      <c r="O137">
        <f t="shared" si="37"/>
        <v>2.4941230716349461</v>
      </c>
      <c r="P137">
        <f t="shared" si="28"/>
        <v>10.400493208717725</v>
      </c>
    </row>
    <row r="138" spans="1:16">
      <c r="A138">
        <f t="shared" si="29"/>
        <v>3.3333333333333333E-2</v>
      </c>
      <c r="B138" s="2">
        <v>33333.333333333336</v>
      </c>
      <c r="C138" s="2">
        <f t="shared" si="30"/>
        <v>8993773440</v>
      </c>
      <c r="D138" s="2">
        <f t="shared" si="31"/>
        <v>8.99377344E-3</v>
      </c>
      <c r="E138" s="2">
        <v>6.2546657778097555E-20</v>
      </c>
      <c r="F138">
        <f t="shared" si="38"/>
        <v>1.4698464926000093E-30</v>
      </c>
      <c r="G138">
        <f t="shared" si="39"/>
        <v>6.2546657778097554</v>
      </c>
      <c r="H138">
        <f t="shared" si="40"/>
        <v>1.6875914084562693E-14</v>
      </c>
      <c r="I138">
        <f t="shared" si="32"/>
        <v>3.9658399038069351E-25</v>
      </c>
      <c r="J138" s="2">
        <f t="shared" si="41"/>
        <v>10495.572510335996</v>
      </c>
      <c r="K138">
        <f t="shared" si="33"/>
        <v>2.4664595983494082E-7</v>
      </c>
      <c r="L138">
        <f t="shared" si="34"/>
        <v>2832479705.3646679</v>
      </c>
      <c r="M138">
        <f t="shared" si="35"/>
        <v>6.6563273076069698E-2</v>
      </c>
      <c r="N138">
        <f t="shared" si="36"/>
        <v>3147199.672627409</v>
      </c>
      <c r="O138">
        <f t="shared" si="37"/>
        <v>2.5167959464006353</v>
      </c>
      <c r="P138">
        <f t="shared" si="28"/>
        <v>11.661154551656276</v>
      </c>
    </row>
    <row r="139" spans="1:16">
      <c r="A139">
        <f t="shared" si="29"/>
        <v>3.7499999999999999E-2</v>
      </c>
      <c r="B139" s="2">
        <v>37500</v>
      </c>
      <c r="C139" s="2">
        <f t="shared" si="30"/>
        <v>7994465280</v>
      </c>
      <c r="D139" s="2">
        <f t="shared" si="31"/>
        <v>7.9944652799999998E-3</v>
      </c>
      <c r="E139" s="2">
        <v>4.9867544283263932E-20</v>
      </c>
      <c r="F139">
        <f t="shared" si="38"/>
        <v>1.1718873184139718E-30</v>
      </c>
      <c r="G139">
        <f t="shared" si="39"/>
        <v>4.9867544283263934</v>
      </c>
      <c r="H139">
        <f t="shared" si="40"/>
        <v>1.0631049369904425E-14</v>
      </c>
      <c r="I139">
        <f t="shared" si="32"/>
        <v>2.49829666110208E-25</v>
      </c>
      <c r="J139" s="2">
        <f t="shared" si="41"/>
        <v>9413.9639306314821</v>
      </c>
      <c r="K139">
        <f t="shared" si="33"/>
        <v>2.2122815760983983E-7</v>
      </c>
      <c r="L139">
        <f t="shared" si="34"/>
        <v>2007373370.4502311</v>
      </c>
      <c r="M139">
        <f t="shared" si="35"/>
        <v>4.7173274205580429E-2</v>
      </c>
      <c r="N139">
        <f t="shared" si="36"/>
        <v>2822868.8021956375</v>
      </c>
      <c r="O139">
        <f t="shared" si="37"/>
        <v>2.539609394003767</v>
      </c>
      <c r="P139">
        <f t="shared" si="28"/>
        <v>13.237713966244636</v>
      </c>
    </row>
    <row r="140" spans="1:16">
      <c r="A140">
        <f t="shared" si="29"/>
        <v>4.2857142857142851E-2</v>
      </c>
      <c r="B140" s="2">
        <v>42857.142857142855</v>
      </c>
      <c r="C140" s="2">
        <f t="shared" si="30"/>
        <v>6995157120</v>
      </c>
      <c r="D140" s="2">
        <f t="shared" si="31"/>
        <v>6.9951571199999996E-3</v>
      </c>
      <c r="E140" s="2">
        <v>3.8524924582619661E-20</v>
      </c>
      <c r="F140">
        <f t="shared" si="38"/>
        <v>9.0533574913530306E-31</v>
      </c>
      <c r="G140">
        <f t="shared" si="39"/>
        <v>3.852492458261966</v>
      </c>
      <c r="H140">
        <f t="shared" si="40"/>
        <v>6.2880510114700832E-15</v>
      </c>
      <c r="I140">
        <f t="shared" si="32"/>
        <v>1.4776920226960151E-25</v>
      </c>
      <c r="J140" s="2">
        <f t="shared" si="41"/>
        <v>8311.6700030323245</v>
      </c>
      <c r="K140">
        <f t="shared" si="33"/>
        <v>1.9532424969770087E-7</v>
      </c>
      <c r="L140">
        <f t="shared" si="34"/>
        <v>1356938068.9404581</v>
      </c>
      <c r="M140">
        <f t="shared" si="35"/>
        <v>3.1888044620100767E-2</v>
      </c>
      <c r="N140">
        <f t="shared" si="36"/>
        <v>2492335.2286661468</v>
      </c>
      <c r="O140">
        <f t="shared" si="37"/>
        <v>2.5625634885248325</v>
      </c>
      <c r="P140">
        <f t="shared" si="28"/>
        <v>15.265556781640788</v>
      </c>
    </row>
    <row r="141" spans="1:16">
      <c r="A141">
        <f t="shared" si="29"/>
        <v>4.9999999999999996E-2</v>
      </c>
      <c r="B141" s="2">
        <v>50000</v>
      </c>
      <c r="C141" s="2">
        <f t="shared" si="30"/>
        <v>5995848960</v>
      </c>
      <c r="D141" s="2">
        <f t="shared" si="31"/>
        <v>5.9958489600000003E-3</v>
      </c>
      <c r="E141" s="2">
        <v>2.8559112984329262E-20</v>
      </c>
      <c r="F141">
        <f t="shared" si="38"/>
        <v>6.7113917102830936E-31</v>
      </c>
      <c r="G141">
        <f t="shared" si="39"/>
        <v>2.8559112984329262</v>
      </c>
      <c r="H141">
        <f t="shared" si="40"/>
        <v>3.4247225577122621E-15</v>
      </c>
      <c r="I141">
        <f t="shared" si="32"/>
        <v>8.0480982012507011E-26</v>
      </c>
      <c r="J141" s="2">
        <f t="shared" si="41"/>
        <v>7188.4954002179256</v>
      </c>
      <c r="K141">
        <f t="shared" si="33"/>
        <v>1.6892964590638111E-7</v>
      </c>
      <c r="L141">
        <f t="shared" si="34"/>
        <v>862216152.49553418</v>
      </c>
      <c r="M141">
        <f t="shared" si="35"/>
        <v>2.0262079583645051E-2</v>
      </c>
      <c r="N141">
        <f t="shared" si="36"/>
        <v>2155540.3812388349</v>
      </c>
      <c r="O141">
        <f t="shared" si="37"/>
        <v>2.5856582953675731</v>
      </c>
      <c r="P141">
        <f t="shared" si="28"/>
        <v>17.970325152804634</v>
      </c>
    </row>
    <row r="142" spans="1:16">
      <c r="A142">
        <f t="shared" si="29"/>
        <v>0.06</v>
      </c>
      <c r="B142" s="2">
        <v>60000</v>
      </c>
      <c r="C142" s="2">
        <f t="shared" si="30"/>
        <v>4996540800</v>
      </c>
      <c r="D142" s="2">
        <f t="shared" si="31"/>
        <v>4.9965408000000001E-3</v>
      </c>
      <c r="E142" s="2">
        <v>2.0010940671408681E-20</v>
      </c>
      <c r="F142">
        <f t="shared" si="38"/>
        <v>4.7025711691659253E-31</v>
      </c>
      <c r="G142">
        <f t="shared" si="39"/>
        <v>2.0010940671408681</v>
      </c>
      <c r="H142">
        <f t="shared" si="40"/>
        <v>1.6664246918512145E-15</v>
      </c>
      <c r="I142">
        <f t="shared" si="32"/>
        <v>3.916098118606875E-26</v>
      </c>
      <c r="J142" s="2">
        <f t="shared" si="41"/>
        <v>6044.2446535109102</v>
      </c>
      <c r="K142">
        <f t="shared" si="33"/>
        <v>1.4203975272185346E-7</v>
      </c>
      <c r="L142">
        <f t="shared" si="34"/>
        <v>503451568.53511006</v>
      </c>
      <c r="M142">
        <f t="shared" si="35"/>
        <v>1.1831111860575087E-2</v>
      </c>
      <c r="N142">
        <f t="shared" si="36"/>
        <v>1812425.6467263962</v>
      </c>
      <c r="O142">
        <f t="shared" si="37"/>
        <v>2.6088938712445109</v>
      </c>
      <c r="P142">
        <f t="shared" si="28"/>
        <v>21.758174886179219</v>
      </c>
    </row>
    <row r="143" spans="1:16">
      <c r="A143">
        <f t="shared" si="29"/>
        <v>7.4999999999999997E-2</v>
      </c>
      <c r="B143" s="2">
        <v>75000</v>
      </c>
      <c r="C143" s="2">
        <f t="shared" si="30"/>
        <v>3997232640</v>
      </c>
      <c r="D143" s="2">
        <f t="shared" si="31"/>
        <v>3.9972326399999999E-3</v>
      </c>
      <c r="E143" s="2">
        <v>1.2921756222991037E-20</v>
      </c>
      <c r="F143">
        <f t="shared" si="38"/>
        <v>3.0366127843279651E-31</v>
      </c>
      <c r="G143">
        <f t="shared" si="39"/>
        <v>1.2921756222991037</v>
      </c>
      <c r="H143">
        <f t="shared" si="40"/>
        <v>6.8868354320883859E-16</v>
      </c>
      <c r="I143">
        <f t="shared" si="32"/>
        <v>1.6184063648742699E-26</v>
      </c>
      <c r="J143" s="2">
        <f t="shared" si="41"/>
        <v>4878.72217298961</v>
      </c>
      <c r="K143">
        <f t="shared" si="33"/>
        <v>1.1464997378084986E-7</v>
      </c>
      <c r="L143">
        <f t="shared" si="34"/>
        <v>260076866.77070943</v>
      </c>
      <c r="M143">
        <f t="shared" si="35"/>
        <v>6.1118063691116718E-3</v>
      </c>
      <c r="N143">
        <f t="shared" si="36"/>
        <v>1462932.3755852405</v>
      </c>
      <c r="O143">
        <f t="shared" si="37"/>
        <v>2.6322702641644322</v>
      </c>
      <c r="P143">
        <f t="shared" si="28"/>
        <v>27.441417503914206</v>
      </c>
    </row>
    <row r="144" spans="1:16">
      <c r="A144">
        <f t="shared" si="29"/>
        <v>9.9999999999999992E-2</v>
      </c>
      <c r="B144" s="2">
        <v>100000</v>
      </c>
      <c r="C144" s="2">
        <f t="shared" si="30"/>
        <v>2997924480</v>
      </c>
      <c r="D144" s="2">
        <f t="shared" si="31"/>
        <v>2.9979244800000002E-3</v>
      </c>
      <c r="E144" s="2">
        <v>7.3334260557619459E-21</v>
      </c>
      <c r="F144">
        <f t="shared" si="38"/>
        <v>1.7233551639233688E-31</v>
      </c>
      <c r="G144">
        <f t="shared" si="39"/>
        <v>0.73334260557619457</v>
      </c>
      <c r="H144">
        <f t="shared" si="40"/>
        <v>2.1985057494838585E-16</v>
      </c>
      <c r="I144">
        <f t="shared" si="32"/>
        <v>5.1664886336602807E-27</v>
      </c>
      <c r="J144" s="2">
        <f t="shared" si="41"/>
        <v>3691.7322676379426</v>
      </c>
      <c r="K144">
        <f t="shared" si="33"/>
        <v>8.6755710344383433E-8</v>
      </c>
      <c r="L144">
        <f t="shared" si="34"/>
        <v>110700188.79576325</v>
      </c>
      <c r="M144">
        <f t="shared" si="35"/>
        <v>2.6014544367004362E-3</v>
      </c>
      <c r="N144">
        <f t="shared" si="36"/>
        <v>1107001.8879576323</v>
      </c>
      <c r="O144">
        <f t="shared" si="37"/>
        <v>2.6557875134217395</v>
      </c>
      <c r="P144">
        <f t="shared" si="28"/>
        <v>36.915446436562178</v>
      </c>
    </row>
    <row r="145" spans="16:16">
      <c r="P145">
        <f t="shared" si="28"/>
        <v>0</v>
      </c>
    </row>
    <row r="146" spans="16:16">
      <c r="P146">
        <f t="shared" si="28"/>
        <v>0</v>
      </c>
    </row>
    <row r="147" spans="16:16">
      <c r="P147">
        <f t="shared" si="28"/>
        <v>0</v>
      </c>
    </row>
    <row r="148" spans="16:16">
      <c r="P148">
        <f t="shared" si="28"/>
        <v>0</v>
      </c>
    </row>
    <row r="149" spans="16:16">
      <c r="P149">
        <f t="shared" ref="P149:P163" si="42">0.000139*O149*B149</f>
        <v>0</v>
      </c>
    </row>
    <row r="150" spans="16:16">
      <c r="P150">
        <f t="shared" si="42"/>
        <v>0</v>
      </c>
    </row>
    <row r="151" spans="16:16">
      <c r="P151">
        <f t="shared" si="42"/>
        <v>0</v>
      </c>
    </row>
    <row r="152" spans="16:16">
      <c r="P152">
        <f t="shared" si="42"/>
        <v>0</v>
      </c>
    </row>
    <row r="153" spans="16:16">
      <c r="P153">
        <f t="shared" si="42"/>
        <v>0</v>
      </c>
    </row>
    <row r="154" spans="16:16">
      <c r="P154">
        <f t="shared" si="42"/>
        <v>0</v>
      </c>
    </row>
    <row r="155" spans="16:16">
      <c r="P155">
        <f t="shared" si="42"/>
        <v>0</v>
      </c>
    </row>
    <row r="156" spans="16:16">
      <c r="P156">
        <f t="shared" si="42"/>
        <v>0</v>
      </c>
    </row>
    <row r="157" spans="16:16">
      <c r="P157">
        <f t="shared" si="42"/>
        <v>0</v>
      </c>
    </row>
    <row r="158" spans="16:16">
      <c r="P158">
        <f t="shared" si="42"/>
        <v>0</v>
      </c>
    </row>
    <row r="159" spans="16:16">
      <c r="P159">
        <f t="shared" si="42"/>
        <v>0</v>
      </c>
    </row>
    <row r="160" spans="16:16">
      <c r="P160">
        <f t="shared" si="42"/>
        <v>0</v>
      </c>
    </row>
    <row r="161" spans="16:16">
      <c r="P161">
        <f t="shared" si="42"/>
        <v>0</v>
      </c>
    </row>
    <row r="162" spans="16:16">
      <c r="P162">
        <f t="shared" si="42"/>
        <v>0</v>
      </c>
    </row>
    <row r="163" spans="16:16">
      <c r="P163">
        <f t="shared" si="42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4:P163"/>
  <sheetViews>
    <sheetView topLeftCell="I1" zoomScale="90" zoomScaleNormal="90" workbookViewId="0">
      <selection activeCell="N8" sqref="N8"/>
    </sheetView>
  </sheetViews>
  <sheetFormatPr defaultRowHeight="15"/>
  <cols>
    <col min="1" max="1" width="15.42578125" bestFit="1" customWidth="1"/>
    <col min="2" max="2" width="21" bestFit="1" customWidth="1"/>
    <col min="3" max="3" width="15.42578125" bestFit="1" customWidth="1"/>
    <col min="5" max="5" width="18.85546875" bestFit="1" customWidth="1"/>
    <col min="6" max="6" width="22.42578125" bestFit="1" customWidth="1"/>
    <col min="7" max="7" width="27" bestFit="1" customWidth="1"/>
    <col min="8" max="8" width="30.5703125" bestFit="1" customWidth="1"/>
    <col min="9" max="9" width="23.5703125" bestFit="1" customWidth="1"/>
    <col min="10" max="11" width="27.140625" bestFit="1" customWidth="1"/>
    <col min="12" max="12" width="26.42578125" bestFit="1" customWidth="1"/>
    <col min="13" max="13" width="30.5703125" bestFit="1" customWidth="1"/>
    <col min="14" max="14" width="10.7109375" bestFit="1" customWidth="1"/>
    <col min="15" max="15" width="12" bestFit="1" customWidth="1"/>
    <col min="16" max="16" width="16.28515625" customWidth="1"/>
  </cols>
  <sheetData>
    <row r="4" spans="1:16">
      <c r="P4" s="10"/>
    </row>
    <row r="6" spans="1:16" s="10" customFormat="1">
      <c r="E6" s="10" t="s">
        <v>15</v>
      </c>
      <c r="F6" s="10" t="s">
        <v>16</v>
      </c>
      <c r="H6" s="10" t="s">
        <v>17</v>
      </c>
      <c r="I6" s="10" t="s">
        <v>18</v>
      </c>
      <c r="J6" s="10" t="s">
        <v>19</v>
      </c>
      <c r="K6" s="10" t="s">
        <v>20</v>
      </c>
      <c r="L6" s="10" t="s">
        <v>21</v>
      </c>
      <c r="M6" s="10" t="s">
        <v>22</v>
      </c>
      <c r="N6" s="13" t="s">
        <v>26</v>
      </c>
      <c r="O6" s="10" t="s">
        <v>6</v>
      </c>
      <c r="P6" s="10" t="s">
        <v>26</v>
      </c>
    </row>
    <row r="7" spans="1:16" s="8" customFormat="1">
      <c r="A7" t="s">
        <v>9</v>
      </c>
      <c r="B7" s="7" t="s">
        <v>0</v>
      </c>
      <c r="C7" s="8" t="s">
        <v>1</v>
      </c>
      <c r="D7" t="s">
        <v>8</v>
      </c>
      <c r="E7" s="1" t="s">
        <v>12</v>
      </c>
      <c r="F7" s="1" t="s">
        <v>10</v>
      </c>
      <c r="G7" s="5" t="s">
        <v>14</v>
      </c>
      <c r="H7" s="1" t="s">
        <v>11</v>
      </c>
      <c r="I7" s="1" t="s">
        <v>2</v>
      </c>
      <c r="J7" s="1" t="s">
        <v>13</v>
      </c>
      <c r="K7" s="1" t="s">
        <v>4</v>
      </c>
      <c r="L7" s="1" t="s">
        <v>7</v>
      </c>
      <c r="M7" s="1" t="s">
        <v>3</v>
      </c>
      <c r="N7" s="14" t="s">
        <v>33</v>
      </c>
      <c r="O7" s="1" t="s">
        <v>28</v>
      </c>
      <c r="P7" t="s">
        <v>30</v>
      </c>
    </row>
    <row r="8" spans="1:16">
      <c r="A8">
        <f>B8/1000000</f>
        <v>1.2500000000000001E-6</v>
      </c>
      <c r="B8" s="3">
        <v>1.25</v>
      </c>
      <c r="C8">
        <f>wavelength_to_freq(B8)</f>
        <v>239833958400000</v>
      </c>
      <c r="D8">
        <f>C8/1000000000000</f>
        <v>239.8339584</v>
      </c>
      <c r="E8" s="3">
        <f>G8*1E-20</f>
        <v>1.1435434999999999E-21</v>
      </c>
      <c r="F8">
        <f>sr_to_arcsec2(E8)</f>
        <v>2.6873272886519111E-32</v>
      </c>
      <c r="G8" s="15">
        <v>0.11435434999999999</v>
      </c>
      <c r="H8">
        <f>Inu_to_Ilambda(E8,B8)</f>
        <v>2.1940845136607231E-7</v>
      </c>
      <c r="I8">
        <f>sr_to_arcsec2(H8)</f>
        <v>5.1560987292298178E-18</v>
      </c>
      <c r="J8">
        <f>Inu_to_Nnu(E8,C8)</f>
        <v>7.195914307816317E-3</v>
      </c>
      <c r="K8">
        <f>sr_to_arcsec2(J8)</f>
        <v>1.6910399023907282E-13</v>
      </c>
      <c r="L8">
        <f>Ilambda_to_Nlambda(H8,B8)</f>
        <v>1380659690200.6265</v>
      </c>
      <c r="M8" s="4">
        <f>sr_to_arcsec2(L8)</f>
        <v>32.445503488217433</v>
      </c>
      <c r="N8">
        <f>L8*A8^2</f>
        <v>2.1572807659384794</v>
      </c>
      <c r="O8">
        <f>Inu_to_Antenna_Temperature(E8,C8)</f>
        <v>6.4708170788407974E-11</v>
      </c>
      <c r="P8">
        <f t="shared" ref="P8:P20" si="0">0.000139*O8*B8</f>
        <v>1.1243044674485885E-14</v>
      </c>
    </row>
    <row r="9" spans="1:16">
      <c r="A9">
        <f t="shared" ref="A9:A17" si="1">B9/1000000</f>
        <v>2.2000000000000001E-6</v>
      </c>
      <c r="B9" s="3">
        <v>2.2000000000000002</v>
      </c>
      <c r="C9">
        <f t="shared" ref="C9:C17" si="2">wavelength_to_freq(B9)</f>
        <v>136269294545454.53</v>
      </c>
      <c r="D9">
        <f t="shared" ref="D9:D17" si="3">C9/1000000000000</f>
        <v>136.26929454545453</v>
      </c>
      <c r="E9" s="3">
        <f t="shared" ref="E9:E17" si="4">G9*1E-20</f>
        <v>7.5797970000000006E-22</v>
      </c>
      <c r="F9">
        <f t="shared" ref="F9:F17" si="5">sr_to_arcsec2(E9)</f>
        <v>1.7812523371906614E-32</v>
      </c>
      <c r="G9" s="15">
        <v>7.5797970000000006E-2</v>
      </c>
      <c r="H9">
        <f t="shared" ref="H9:H17" si="6">Inu_to_Ilambda(E9,B9)</f>
        <v>4.6949708635806938E-8</v>
      </c>
      <c r="I9">
        <f t="shared" ref="I9:I17" si="7">sr_to_arcsec2(H9)</f>
        <v>1.1033181790746069E-18</v>
      </c>
      <c r="J9">
        <f t="shared" ref="J9:J17" si="8">Inu_to_Nnu(E9,C9)</f>
        <v>8.3946682082012662E-3</v>
      </c>
      <c r="K9">
        <f t="shared" ref="K9:K17" si="9">sr_to_arcsec2(J9)</f>
        <v>1.9727470756536946E-13</v>
      </c>
      <c r="L9">
        <f t="shared" ref="L9:L17" si="10">Ilambda_to_Nlambda(H9,B9)</f>
        <v>519970688488.51874</v>
      </c>
      <c r="M9" s="4">
        <f t="shared" ref="M9:M17" si="11">sr_to_arcsec2(L9)</f>
        <v>12.219311468906243</v>
      </c>
      <c r="N9">
        <f t="shared" ref="N9:N17" si="12">L9*A9^2</f>
        <v>2.516658132284431</v>
      </c>
      <c r="O9">
        <f t="shared" ref="O9:O17" si="13">Inu_to_Antenna_Temperature(E9,C9)</f>
        <v>1.3285849963879575E-10</v>
      </c>
      <c r="P9">
        <f t="shared" si="0"/>
        <v>4.0628129189543739E-14</v>
      </c>
    </row>
    <row r="10" spans="1:16">
      <c r="A10">
        <f t="shared" si="1"/>
        <v>3.4999999999999999E-6</v>
      </c>
      <c r="B10" s="3">
        <v>3.5</v>
      </c>
      <c r="C10">
        <f t="shared" si="2"/>
        <v>85654985142857.141</v>
      </c>
      <c r="D10">
        <f t="shared" si="3"/>
        <v>85.654985142857143</v>
      </c>
      <c r="E10" s="3">
        <f t="shared" si="4"/>
        <v>6.3994433999999998E-22</v>
      </c>
      <c r="F10">
        <f t="shared" si="5"/>
        <v>1.5038692346205779E-32</v>
      </c>
      <c r="G10" s="15">
        <v>6.3994434000000003E-2</v>
      </c>
      <c r="H10">
        <f t="shared" si="6"/>
        <v>1.5661263695701576E-8</v>
      </c>
      <c r="I10">
        <f t="shared" si="7"/>
        <v>3.6803970556635866E-19</v>
      </c>
      <c r="J10">
        <f t="shared" si="8"/>
        <v>1.1275440742528637E-2</v>
      </c>
      <c r="K10">
        <f t="shared" si="9"/>
        <v>2.6497286372555811E-13</v>
      </c>
      <c r="L10">
        <f t="shared" si="10"/>
        <v>275942202651.55896</v>
      </c>
      <c r="M10" s="4">
        <f t="shared" si="11"/>
        <v>6.4846419159065674</v>
      </c>
      <c r="N10">
        <f t="shared" si="12"/>
        <v>3.3802919824815971</v>
      </c>
      <c r="O10">
        <f t="shared" si="13"/>
        <v>2.8389954624263353E-10</v>
      </c>
      <c r="P10">
        <f t="shared" si="0"/>
        <v>1.381171292470412E-13</v>
      </c>
    </row>
    <row r="11" spans="1:16">
      <c r="A11">
        <f t="shared" si="1"/>
        <v>4.9000000000000005E-6</v>
      </c>
      <c r="B11" s="3">
        <v>4.9000000000000004</v>
      </c>
      <c r="C11">
        <f t="shared" si="2"/>
        <v>61182132244897.953</v>
      </c>
      <c r="D11">
        <f t="shared" si="3"/>
        <v>61.18213224489795</v>
      </c>
      <c r="E11" s="3">
        <f t="shared" si="4"/>
        <v>3.8694028999999998E-21</v>
      </c>
      <c r="F11">
        <f t="shared" si="5"/>
        <v>9.0930970303786795E-32</v>
      </c>
      <c r="G11" s="15">
        <v>0.38694029000000002</v>
      </c>
      <c r="H11">
        <f t="shared" si="6"/>
        <v>4.8313942844202361E-8</v>
      </c>
      <c r="I11">
        <f t="shared" si="7"/>
        <v>1.1353776837312594E-18</v>
      </c>
      <c r="J11">
        <f t="shared" si="8"/>
        <v>9.5447226474549091E-2</v>
      </c>
      <c r="K11">
        <f t="shared" si="9"/>
        <v>2.2430098752797329E-12</v>
      </c>
      <c r="L11">
        <f t="shared" si="10"/>
        <v>1191768333178.4871</v>
      </c>
      <c r="M11" s="4">
        <f t="shared" si="11"/>
        <v>28.006556493056461</v>
      </c>
      <c r="N11">
        <f t="shared" si="12"/>
        <v>28.61435767961548</v>
      </c>
      <c r="O11">
        <f t="shared" si="13"/>
        <v>3.3645153982895816E-9</v>
      </c>
      <c r="P11">
        <f t="shared" si="0"/>
        <v>2.291571437775034E-12</v>
      </c>
    </row>
    <row r="12" spans="1:16">
      <c r="A12">
        <f t="shared" si="1"/>
        <v>1.2E-5</v>
      </c>
      <c r="B12" s="3">
        <v>12</v>
      </c>
      <c r="C12">
        <f t="shared" si="2"/>
        <v>24982704000000</v>
      </c>
      <c r="D12">
        <f t="shared" si="3"/>
        <v>24.982703999999998</v>
      </c>
      <c r="E12" s="3">
        <f t="shared" si="4"/>
        <v>1.1845375000000001E-19</v>
      </c>
      <c r="F12">
        <f t="shared" si="5"/>
        <v>2.7836631909337191E-30</v>
      </c>
      <c r="G12" s="15">
        <v>11.845375000000001</v>
      </c>
      <c r="H12">
        <f t="shared" si="6"/>
        <v>2.4660791449499998E-7</v>
      </c>
      <c r="I12">
        <f t="shared" si="7"/>
        <v>5.7952861278993815E-18</v>
      </c>
      <c r="J12">
        <f t="shared" si="8"/>
        <v>7.1557200321799499</v>
      </c>
      <c r="K12">
        <f t="shared" si="9"/>
        <v>1.6815942473924526E-10</v>
      </c>
      <c r="L12">
        <f t="shared" si="10"/>
        <v>14897436289235.18</v>
      </c>
      <c r="M12" s="4">
        <f t="shared" si="11"/>
        <v>350.08976108923679</v>
      </c>
      <c r="N12">
        <f t="shared" si="12"/>
        <v>2145.2308256498663</v>
      </c>
      <c r="O12">
        <f t="shared" si="13"/>
        <v>6.1772860651667701E-7</v>
      </c>
      <c r="P12">
        <f t="shared" si="0"/>
        <v>1.0303713156698171E-9</v>
      </c>
    </row>
    <row r="13" spans="1:16">
      <c r="A13">
        <f t="shared" si="1"/>
        <v>2.5000000000000001E-5</v>
      </c>
      <c r="B13" s="3">
        <v>25</v>
      </c>
      <c r="C13">
        <f t="shared" si="2"/>
        <v>11991697920000</v>
      </c>
      <c r="D13">
        <f t="shared" si="3"/>
        <v>11.99169792</v>
      </c>
      <c r="E13" s="3">
        <f t="shared" si="4"/>
        <v>2.0591958999999998E-19</v>
      </c>
      <c r="F13">
        <f t="shared" si="5"/>
        <v>4.8391104796189491E-30</v>
      </c>
      <c r="G13" s="15">
        <v>20.591958999999999</v>
      </c>
      <c r="H13">
        <f t="shared" si="6"/>
        <v>9.8773020763610102E-8</v>
      </c>
      <c r="I13">
        <f t="shared" si="7"/>
        <v>2.3211660429238702E-18</v>
      </c>
      <c r="J13">
        <f t="shared" si="8"/>
        <v>25.915581242701649</v>
      </c>
      <c r="K13">
        <f t="shared" si="9"/>
        <v>6.0901617362861794E-10</v>
      </c>
      <c r="L13">
        <f t="shared" si="10"/>
        <v>12430872867347.854</v>
      </c>
      <c r="M13" s="4">
        <f t="shared" si="11"/>
        <v>292.12551930194621</v>
      </c>
      <c r="N13">
        <f t="shared" si="12"/>
        <v>7769.2955420924091</v>
      </c>
      <c r="O13">
        <f t="shared" si="13"/>
        <v>4.6608388743931289E-6</v>
      </c>
      <c r="P13">
        <f t="shared" si="0"/>
        <v>1.6196415088516122E-8</v>
      </c>
    </row>
    <row r="14" spans="1:16">
      <c r="A14">
        <f t="shared" si="1"/>
        <v>6.0000000000000002E-5</v>
      </c>
      <c r="B14" s="3">
        <v>60</v>
      </c>
      <c r="C14">
        <f t="shared" si="2"/>
        <v>4996540800000</v>
      </c>
      <c r="D14">
        <f t="shared" si="3"/>
        <v>4.9965408</v>
      </c>
      <c r="E14" s="3">
        <f t="shared" si="4"/>
        <v>5.6758812E-20</v>
      </c>
      <c r="F14">
        <f t="shared" si="5"/>
        <v>1.3338321135930863E-30</v>
      </c>
      <c r="G14" s="15">
        <v>5.6758812000000001</v>
      </c>
      <c r="H14">
        <f t="shared" si="6"/>
        <v>4.7266286652921598E-9</v>
      </c>
      <c r="I14">
        <f t="shared" si="7"/>
        <v>1.1107577626530151E-19</v>
      </c>
      <c r="J14">
        <f t="shared" si="8"/>
        <v>17.143829048516224</v>
      </c>
      <c r="K14">
        <f t="shared" si="9"/>
        <v>4.0287999218272834E-10</v>
      </c>
      <c r="L14">
        <f t="shared" si="10"/>
        <v>1427664021818.9414</v>
      </c>
      <c r="M14" s="4">
        <f t="shared" si="11"/>
        <v>33.550105307411378</v>
      </c>
      <c r="N14">
        <f t="shared" si="12"/>
        <v>5139.5904785481889</v>
      </c>
      <c r="O14">
        <f t="shared" si="13"/>
        <v>7.3998378785606285E-6</v>
      </c>
      <c r="P14">
        <f t="shared" si="0"/>
        <v>6.1714647907195643E-8</v>
      </c>
    </row>
    <row r="15" spans="1:16">
      <c r="A15">
        <f t="shared" si="1"/>
        <v>1E-4</v>
      </c>
      <c r="B15" s="3">
        <v>100</v>
      </c>
      <c r="C15">
        <f t="shared" si="2"/>
        <v>2997924480000</v>
      </c>
      <c r="D15">
        <f t="shared" si="3"/>
        <v>2.99792448</v>
      </c>
      <c r="E15" s="3">
        <f t="shared" si="4"/>
        <v>1.9649892E-20</v>
      </c>
      <c r="F15">
        <f t="shared" si="5"/>
        <v>4.6177247293752168E-31</v>
      </c>
      <c r="G15" s="15">
        <v>1.9649892</v>
      </c>
      <c r="H15">
        <f t="shared" si="6"/>
        <v>5.8908892256156156E-10</v>
      </c>
      <c r="I15">
        <f t="shared" si="7"/>
        <v>1.3843590008095337E-20</v>
      </c>
      <c r="J15">
        <f t="shared" si="8"/>
        <v>9.8919849740631918</v>
      </c>
      <c r="K15">
        <f t="shared" si="9"/>
        <v>2.3246165239656108E-10</v>
      </c>
      <c r="L15">
        <f t="shared" si="10"/>
        <v>296554239095.36206</v>
      </c>
      <c r="M15" s="4">
        <f t="shared" si="11"/>
        <v>6.9690247838090107</v>
      </c>
      <c r="N15">
        <f t="shared" si="12"/>
        <v>2965.5423909536207</v>
      </c>
      <c r="O15">
        <f t="shared" si="13"/>
        <v>7.1161742706443081E-6</v>
      </c>
      <c r="P15">
        <f t="shared" si="0"/>
        <v>9.8914822361955865E-8</v>
      </c>
    </row>
    <row r="16" spans="1:16">
      <c r="A16">
        <f t="shared" si="1"/>
        <v>1.3999999999999999E-4</v>
      </c>
      <c r="B16" s="3">
        <v>140</v>
      </c>
      <c r="C16">
        <f t="shared" si="2"/>
        <v>2141374628571.4285</v>
      </c>
      <c r="D16">
        <f t="shared" si="3"/>
        <v>2.1413746285714286</v>
      </c>
      <c r="E16" s="3">
        <f t="shared" si="4"/>
        <v>9.2540247999999993E-21</v>
      </c>
      <c r="F16">
        <f t="shared" si="5"/>
        <v>2.1746958795097469E-31</v>
      </c>
      <c r="G16" s="15">
        <v>0.92540248000000003</v>
      </c>
      <c r="H16">
        <f t="shared" si="6"/>
        <v>1.4154524227779134E-10</v>
      </c>
      <c r="I16">
        <f t="shared" si="7"/>
        <v>3.3263132723150003E-21</v>
      </c>
      <c r="J16">
        <f t="shared" si="8"/>
        <v>6.5220177281224441</v>
      </c>
      <c r="K16">
        <f t="shared" si="9"/>
        <v>1.5326742024116253E-10</v>
      </c>
      <c r="L16">
        <f t="shared" si="10"/>
        <v>99757737786.389069</v>
      </c>
      <c r="M16" s="4">
        <f t="shared" si="11"/>
        <v>2.344306893507289</v>
      </c>
      <c r="N16">
        <f t="shared" si="12"/>
        <v>1955.2516606132253</v>
      </c>
      <c r="O16">
        <f t="shared" si="13"/>
        <v>6.5686048674497602E-6</v>
      </c>
      <c r="P16">
        <f t="shared" si="0"/>
        <v>1.2782505072057232E-7</v>
      </c>
    </row>
    <row r="17" spans="1:16">
      <c r="A17">
        <f t="shared" si="1"/>
        <v>2.4000000000000001E-4</v>
      </c>
      <c r="B17" s="3">
        <v>240</v>
      </c>
      <c r="C17">
        <f t="shared" si="2"/>
        <v>1249135200000</v>
      </c>
      <c r="D17">
        <f t="shared" si="3"/>
        <v>1.2491352</v>
      </c>
      <c r="E17" s="3">
        <f t="shared" si="4"/>
        <v>2.9126542E-21</v>
      </c>
      <c r="F17">
        <f t="shared" si="5"/>
        <v>6.8447375321241395E-32</v>
      </c>
      <c r="G17" s="15">
        <v>0.29126542</v>
      </c>
      <c r="H17">
        <f t="shared" si="6"/>
        <v>1.5159578694366E-11</v>
      </c>
      <c r="I17">
        <f t="shared" si="7"/>
        <v>3.5625010775572474E-22</v>
      </c>
      <c r="J17">
        <f t="shared" si="8"/>
        <v>3.5190338855043533</v>
      </c>
      <c r="K17">
        <f t="shared" si="9"/>
        <v>8.2697298268116728E-11</v>
      </c>
      <c r="L17">
        <f t="shared" si="10"/>
        <v>18315621234.901073</v>
      </c>
      <c r="M17" s="4">
        <f t="shared" si="11"/>
        <v>0.43041710921501519</v>
      </c>
      <c r="N17">
        <f t="shared" si="12"/>
        <v>1054.9797831303017</v>
      </c>
      <c r="O17">
        <f t="shared" si="13"/>
        <v>6.0757209298344597E-6</v>
      </c>
      <c r="P17">
        <f t="shared" si="0"/>
        <v>2.0268605021927755E-7</v>
      </c>
    </row>
    <row r="18" spans="1:16">
      <c r="P18">
        <f t="shared" si="0"/>
        <v>0</v>
      </c>
    </row>
    <row r="19" spans="1:16">
      <c r="P19">
        <f t="shared" si="0"/>
        <v>0</v>
      </c>
    </row>
    <row r="20" spans="1:16">
      <c r="P20">
        <f t="shared" si="0"/>
        <v>0</v>
      </c>
    </row>
    <row r="21" spans="1:16">
      <c r="P21">
        <f t="shared" ref="P21:P84" si="14">0.000139*O21*B21</f>
        <v>0</v>
      </c>
    </row>
    <row r="22" spans="1:16">
      <c r="P22">
        <f t="shared" si="14"/>
        <v>0</v>
      </c>
    </row>
    <row r="23" spans="1:16">
      <c r="P23">
        <f t="shared" si="14"/>
        <v>0</v>
      </c>
    </row>
    <row r="24" spans="1:16">
      <c r="P24">
        <f t="shared" si="14"/>
        <v>0</v>
      </c>
    </row>
    <row r="25" spans="1:16">
      <c r="P25">
        <f t="shared" si="14"/>
        <v>0</v>
      </c>
    </row>
    <row r="26" spans="1:16">
      <c r="P26">
        <f t="shared" si="14"/>
        <v>0</v>
      </c>
    </row>
    <row r="27" spans="1:16">
      <c r="P27">
        <f t="shared" si="14"/>
        <v>0</v>
      </c>
    </row>
    <row r="28" spans="1:16">
      <c r="P28">
        <f t="shared" si="14"/>
        <v>0</v>
      </c>
    </row>
    <row r="29" spans="1:16">
      <c r="P29">
        <f t="shared" si="14"/>
        <v>0</v>
      </c>
    </row>
    <row r="30" spans="1:16">
      <c r="P30">
        <f t="shared" si="14"/>
        <v>0</v>
      </c>
    </row>
    <row r="31" spans="1:16">
      <c r="P31">
        <f t="shared" si="14"/>
        <v>0</v>
      </c>
    </row>
    <row r="32" spans="1:16">
      <c r="P32">
        <f t="shared" si="14"/>
        <v>0</v>
      </c>
    </row>
    <row r="33" spans="16:16">
      <c r="P33">
        <f t="shared" si="14"/>
        <v>0</v>
      </c>
    </row>
    <row r="34" spans="16:16">
      <c r="P34">
        <f t="shared" si="14"/>
        <v>0</v>
      </c>
    </row>
    <row r="35" spans="16:16">
      <c r="P35">
        <f t="shared" si="14"/>
        <v>0</v>
      </c>
    </row>
    <row r="36" spans="16:16">
      <c r="P36">
        <f t="shared" si="14"/>
        <v>0</v>
      </c>
    </row>
    <row r="37" spans="16:16">
      <c r="P37">
        <f t="shared" si="14"/>
        <v>0</v>
      </c>
    </row>
    <row r="38" spans="16:16">
      <c r="P38">
        <f t="shared" si="14"/>
        <v>0</v>
      </c>
    </row>
    <row r="39" spans="16:16">
      <c r="P39">
        <f t="shared" si="14"/>
        <v>0</v>
      </c>
    </row>
    <row r="40" spans="16:16">
      <c r="P40">
        <f t="shared" si="14"/>
        <v>0</v>
      </c>
    </row>
    <row r="41" spans="16:16">
      <c r="P41">
        <f t="shared" si="14"/>
        <v>0</v>
      </c>
    </row>
    <row r="42" spans="16:16">
      <c r="P42">
        <f t="shared" si="14"/>
        <v>0</v>
      </c>
    </row>
    <row r="43" spans="16:16">
      <c r="P43">
        <f t="shared" si="14"/>
        <v>0</v>
      </c>
    </row>
    <row r="44" spans="16:16">
      <c r="P44">
        <f t="shared" si="14"/>
        <v>0</v>
      </c>
    </row>
    <row r="45" spans="16:16">
      <c r="P45">
        <f t="shared" si="14"/>
        <v>0</v>
      </c>
    </row>
    <row r="46" spans="16:16">
      <c r="P46">
        <f t="shared" si="14"/>
        <v>0</v>
      </c>
    </row>
    <row r="47" spans="16:16">
      <c r="P47">
        <f t="shared" si="14"/>
        <v>0</v>
      </c>
    </row>
    <row r="48" spans="16:16">
      <c r="P48">
        <f t="shared" si="14"/>
        <v>0</v>
      </c>
    </row>
    <row r="49" spans="16:16">
      <c r="P49">
        <f t="shared" si="14"/>
        <v>0</v>
      </c>
    </row>
    <row r="50" spans="16:16">
      <c r="P50">
        <f t="shared" si="14"/>
        <v>0</v>
      </c>
    </row>
    <row r="51" spans="16:16">
      <c r="P51">
        <f t="shared" si="14"/>
        <v>0</v>
      </c>
    </row>
    <row r="52" spans="16:16">
      <c r="P52">
        <f t="shared" si="14"/>
        <v>0</v>
      </c>
    </row>
    <row r="53" spans="16:16">
      <c r="P53">
        <f t="shared" si="14"/>
        <v>0</v>
      </c>
    </row>
    <row r="54" spans="16:16">
      <c r="P54">
        <f t="shared" si="14"/>
        <v>0</v>
      </c>
    </row>
    <row r="55" spans="16:16">
      <c r="P55">
        <f t="shared" si="14"/>
        <v>0</v>
      </c>
    </row>
    <row r="56" spans="16:16">
      <c r="P56">
        <f t="shared" si="14"/>
        <v>0</v>
      </c>
    </row>
    <row r="57" spans="16:16">
      <c r="P57">
        <f t="shared" si="14"/>
        <v>0</v>
      </c>
    </row>
    <row r="58" spans="16:16">
      <c r="P58">
        <f t="shared" si="14"/>
        <v>0</v>
      </c>
    </row>
    <row r="59" spans="16:16">
      <c r="P59">
        <f t="shared" si="14"/>
        <v>0</v>
      </c>
    </row>
    <row r="60" spans="16:16">
      <c r="P60">
        <f t="shared" si="14"/>
        <v>0</v>
      </c>
    </row>
    <row r="61" spans="16:16">
      <c r="P61">
        <f t="shared" si="14"/>
        <v>0</v>
      </c>
    </row>
    <row r="62" spans="16:16">
      <c r="P62">
        <f t="shared" si="14"/>
        <v>0</v>
      </c>
    </row>
    <row r="63" spans="16:16">
      <c r="P63">
        <f t="shared" si="14"/>
        <v>0</v>
      </c>
    </row>
    <row r="64" spans="16:16">
      <c r="P64">
        <f t="shared" si="14"/>
        <v>0</v>
      </c>
    </row>
    <row r="65" spans="16:16">
      <c r="P65">
        <f t="shared" si="14"/>
        <v>0</v>
      </c>
    </row>
    <row r="66" spans="16:16">
      <c r="P66">
        <f t="shared" si="14"/>
        <v>0</v>
      </c>
    </row>
    <row r="67" spans="16:16">
      <c r="P67">
        <f t="shared" si="14"/>
        <v>0</v>
      </c>
    </row>
    <row r="68" spans="16:16">
      <c r="P68">
        <f t="shared" si="14"/>
        <v>0</v>
      </c>
    </row>
    <row r="69" spans="16:16">
      <c r="P69">
        <f t="shared" si="14"/>
        <v>0</v>
      </c>
    </row>
    <row r="70" spans="16:16">
      <c r="P70">
        <f t="shared" si="14"/>
        <v>0</v>
      </c>
    </row>
    <row r="71" spans="16:16">
      <c r="P71">
        <f t="shared" si="14"/>
        <v>0</v>
      </c>
    </row>
    <row r="72" spans="16:16">
      <c r="P72">
        <f t="shared" si="14"/>
        <v>0</v>
      </c>
    </row>
    <row r="73" spans="16:16">
      <c r="P73">
        <f t="shared" si="14"/>
        <v>0</v>
      </c>
    </row>
    <row r="74" spans="16:16">
      <c r="P74">
        <f t="shared" si="14"/>
        <v>0</v>
      </c>
    </row>
    <row r="75" spans="16:16">
      <c r="P75">
        <f t="shared" si="14"/>
        <v>0</v>
      </c>
    </row>
    <row r="76" spans="16:16">
      <c r="P76">
        <f t="shared" si="14"/>
        <v>0</v>
      </c>
    </row>
    <row r="77" spans="16:16">
      <c r="P77">
        <f t="shared" si="14"/>
        <v>0</v>
      </c>
    </row>
    <row r="78" spans="16:16">
      <c r="P78">
        <f t="shared" si="14"/>
        <v>0</v>
      </c>
    </row>
    <row r="79" spans="16:16">
      <c r="P79">
        <f t="shared" si="14"/>
        <v>0</v>
      </c>
    </row>
    <row r="80" spans="16:16">
      <c r="P80">
        <f t="shared" si="14"/>
        <v>0</v>
      </c>
    </row>
    <row r="81" spans="16:16">
      <c r="P81">
        <f t="shared" si="14"/>
        <v>0</v>
      </c>
    </row>
    <row r="82" spans="16:16">
      <c r="P82">
        <f t="shared" si="14"/>
        <v>0</v>
      </c>
    </row>
    <row r="83" spans="16:16">
      <c r="P83">
        <f t="shared" si="14"/>
        <v>0</v>
      </c>
    </row>
    <row r="84" spans="16:16">
      <c r="P84">
        <f t="shared" si="14"/>
        <v>0</v>
      </c>
    </row>
    <row r="85" spans="16:16">
      <c r="P85">
        <f t="shared" ref="P85:P148" si="15">0.000139*O85*B85</f>
        <v>0</v>
      </c>
    </row>
    <row r="86" spans="16:16">
      <c r="P86">
        <f t="shared" si="15"/>
        <v>0</v>
      </c>
    </row>
    <row r="87" spans="16:16">
      <c r="P87">
        <f t="shared" si="15"/>
        <v>0</v>
      </c>
    </row>
    <row r="88" spans="16:16">
      <c r="P88">
        <f t="shared" si="15"/>
        <v>0</v>
      </c>
    </row>
    <row r="89" spans="16:16">
      <c r="P89">
        <f t="shared" si="15"/>
        <v>0</v>
      </c>
    </row>
    <row r="90" spans="16:16">
      <c r="P90">
        <f t="shared" si="15"/>
        <v>0</v>
      </c>
    </row>
    <row r="91" spans="16:16">
      <c r="P91">
        <f t="shared" si="15"/>
        <v>0</v>
      </c>
    </row>
    <row r="92" spans="16:16">
      <c r="P92">
        <f t="shared" si="15"/>
        <v>0</v>
      </c>
    </row>
    <row r="93" spans="16:16">
      <c r="P93">
        <f t="shared" si="15"/>
        <v>0</v>
      </c>
    </row>
    <row r="94" spans="16:16">
      <c r="P94">
        <f t="shared" si="15"/>
        <v>0</v>
      </c>
    </row>
    <row r="95" spans="16:16">
      <c r="P95">
        <f t="shared" si="15"/>
        <v>0</v>
      </c>
    </row>
    <row r="96" spans="16:16">
      <c r="P96">
        <f t="shared" si="15"/>
        <v>0</v>
      </c>
    </row>
    <row r="97" spans="16:16">
      <c r="P97">
        <f t="shared" si="15"/>
        <v>0</v>
      </c>
    </row>
    <row r="98" spans="16:16">
      <c r="P98">
        <f t="shared" si="15"/>
        <v>0</v>
      </c>
    </row>
    <row r="99" spans="16:16">
      <c r="P99">
        <f t="shared" si="15"/>
        <v>0</v>
      </c>
    </row>
    <row r="100" spans="16:16">
      <c r="P100">
        <f t="shared" si="15"/>
        <v>0</v>
      </c>
    </row>
    <row r="101" spans="16:16">
      <c r="P101">
        <f t="shared" si="15"/>
        <v>0</v>
      </c>
    </row>
    <row r="102" spans="16:16">
      <c r="P102">
        <f t="shared" si="15"/>
        <v>0</v>
      </c>
    </row>
    <row r="103" spans="16:16">
      <c r="P103">
        <f t="shared" si="15"/>
        <v>0</v>
      </c>
    </row>
    <row r="104" spans="16:16">
      <c r="P104">
        <f t="shared" si="15"/>
        <v>0</v>
      </c>
    </row>
    <row r="105" spans="16:16">
      <c r="P105">
        <f t="shared" si="15"/>
        <v>0</v>
      </c>
    </row>
    <row r="106" spans="16:16">
      <c r="P106">
        <f t="shared" si="15"/>
        <v>0</v>
      </c>
    </row>
    <row r="107" spans="16:16">
      <c r="P107">
        <f t="shared" si="15"/>
        <v>0</v>
      </c>
    </row>
    <row r="108" spans="16:16">
      <c r="P108">
        <f t="shared" si="15"/>
        <v>0</v>
      </c>
    </row>
    <row r="109" spans="16:16">
      <c r="P109">
        <f t="shared" si="15"/>
        <v>0</v>
      </c>
    </row>
    <row r="110" spans="16:16">
      <c r="P110">
        <f t="shared" si="15"/>
        <v>0</v>
      </c>
    </row>
    <row r="111" spans="16:16">
      <c r="P111">
        <f t="shared" si="15"/>
        <v>0</v>
      </c>
    </row>
    <row r="112" spans="16:16">
      <c r="P112">
        <f t="shared" si="15"/>
        <v>0</v>
      </c>
    </row>
    <row r="113" spans="16:16">
      <c r="P113">
        <f t="shared" si="15"/>
        <v>0</v>
      </c>
    </row>
    <row r="114" spans="16:16">
      <c r="P114">
        <f t="shared" si="15"/>
        <v>0</v>
      </c>
    </row>
    <row r="115" spans="16:16">
      <c r="P115">
        <f t="shared" si="15"/>
        <v>0</v>
      </c>
    </row>
    <row r="116" spans="16:16">
      <c r="P116">
        <f t="shared" si="15"/>
        <v>0</v>
      </c>
    </row>
    <row r="117" spans="16:16">
      <c r="P117">
        <f t="shared" si="15"/>
        <v>0</v>
      </c>
    </row>
    <row r="118" spans="16:16">
      <c r="P118">
        <f t="shared" si="15"/>
        <v>0</v>
      </c>
    </row>
    <row r="119" spans="16:16">
      <c r="P119">
        <f t="shared" si="15"/>
        <v>0</v>
      </c>
    </row>
    <row r="120" spans="16:16">
      <c r="P120">
        <f t="shared" si="15"/>
        <v>0</v>
      </c>
    </row>
    <row r="121" spans="16:16">
      <c r="P121">
        <f t="shared" si="15"/>
        <v>0</v>
      </c>
    </row>
    <row r="122" spans="16:16">
      <c r="P122">
        <f t="shared" si="15"/>
        <v>0</v>
      </c>
    </row>
    <row r="123" spans="16:16">
      <c r="P123">
        <f t="shared" si="15"/>
        <v>0</v>
      </c>
    </row>
    <row r="124" spans="16:16">
      <c r="P124">
        <f t="shared" si="15"/>
        <v>0</v>
      </c>
    </row>
    <row r="125" spans="16:16">
      <c r="P125">
        <f t="shared" si="15"/>
        <v>0</v>
      </c>
    </row>
    <row r="126" spans="16:16">
      <c r="P126">
        <f t="shared" si="15"/>
        <v>0</v>
      </c>
    </row>
    <row r="127" spans="16:16">
      <c r="P127">
        <f t="shared" si="15"/>
        <v>0</v>
      </c>
    </row>
    <row r="128" spans="16:16">
      <c r="P128">
        <f t="shared" si="15"/>
        <v>0</v>
      </c>
    </row>
    <row r="129" spans="16:16">
      <c r="P129">
        <f t="shared" si="15"/>
        <v>0</v>
      </c>
    </row>
    <row r="130" spans="16:16">
      <c r="P130">
        <f t="shared" si="15"/>
        <v>0</v>
      </c>
    </row>
    <row r="131" spans="16:16">
      <c r="P131">
        <f t="shared" si="15"/>
        <v>0</v>
      </c>
    </row>
    <row r="132" spans="16:16">
      <c r="P132">
        <f t="shared" si="15"/>
        <v>0</v>
      </c>
    </row>
    <row r="133" spans="16:16">
      <c r="P133">
        <f t="shared" si="15"/>
        <v>0</v>
      </c>
    </row>
    <row r="134" spans="16:16">
      <c r="P134">
        <f t="shared" si="15"/>
        <v>0</v>
      </c>
    </row>
    <row r="135" spans="16:16">
      <c r="P135">
        <f t="shared" si="15"/>
        <v>0</v>
      </c>
    </row>
    <row r="136" spans="16:16">
      <c r="P136">
        <f t="shared" si="15"/>
        <v>0</v>
      </c>
    </row>
    <row r="137" spans="16:16">
      <c r="P137">
        <f t="shared" si="15"/>
        <v>0</v>
      </c>
    </row>
    <row r="138" spans="16:16">
      <c r="P138">
        <f t="shared" si="15"/>
        <v>0</v>
      </c>
    </row>
    <row r="139" spans="16:16">
      <c r="P139">
        <f t="shared" si="15"/>
        <v>0</v>
      </c>
    </row>
    <row r="140" spans="16:16">
      <c r="P140">
        <f t="shared" si="15"/>
        <v>0</v>
      </c>
    </row>
    <row r="141" spans="16:16">
      <c r="P141">
        <f t="shared" si="15"/>
        <v>0</v>
      </c>
    </row>
    <row r="142" spans="16:16">
      <c r="P142">
        <f t="shared" si="15"/>
        <v>0</v>
      </c>
    </row>
    <row r="143" spans="16:16">
      <c r="P143">
        <f t="shared" si="15"/>
        <v>0</v>
      </c>
    </row>
    <row r="144" spans="16:16">
      <c r="P144">
        <f t="shared" si="15"/>
        <v>0</v>
      </c>
    </row>
    <row r="145" spans="16:16">
      <c r="P145">
        <f t="shared" si="15"/>
        <v>0</v>
      </c>
    </row>
    <row r="146" spans="16:16">
      <c r="P146">
        <f t="shared" si="15"/>
        <v>0</v>
      </c>
    </row>
    <row r="147" spans="16:16">
      <c r="P147">
        <f t="shared" si="15"/>
        <v>0</v>
      </c>
    </row>
    <row r="148" spans="16:16">
      <c r="P148">
        <f t="shared" si="15"/>
        <v>0</v>
      </c>
    </row>
    <row r="149" spans="16:16">
      <c r="P149">
        <f t="shared" ref="P149:P163" si="16">0.000139*O149*B149</f>
        <v>0</v>
      </c>
    </row>
    <row r="150" spans="16:16">
      <c r="P150">
        <f t="shared" si="16"/>
        <v>0</v>
      </c>
    </row>
    <row r="151" spans="16:16">
      <c r="P151">
        <f t="shared" si="16"/>
        <v>0</v>
      </c>
    </row>
    <row r="152" spans="16:16">
      <c r="P152">
        <f t="shared" si="16"/>
        <v>0</v>
      </c>
    </row>
    <row r="153" spans="16:16">
      <c r="P153">
        <f t="shared" si="16"/>
        <v>0</v>
      </c>
    </row>
    <row r="154" spans="16:16">
      <c r="P154">
        <f t="shared" si="16"/>
        <v>0</v>
      </c>
    </row>
    <row r="155" spans="16:16">
      <c r="P155">
        <f t="shared" si="16"/>
        <v>0</v>
      </c>
    </row>
    <row r="156" spans="16:16">
      <c r="P156">
        <f t="shared" si="16"/>
        <v>0</v>
      </c>
    </row>
    <row r="157" spans="16:16">
      <c r="P157">
        <f t="shared" si="16"/>
        <v>0</v>
      </c>
    </row>
    <row r="158" spans="16:16">
      <c r="P158">
        <f t="shared" si="16"/>
        <v>0</v>
      </c>
    </row>
    <row r="159" spans="16:16">
      <c r="P159">
        <f t="shared" si="16"/>
        <v>0</v>
      </c>
    </row>
    <row r="160" spans="16:16">
      <c r="P160">
        <f t="shared" si="16"/>
        <v>0</v>
      </c>
    </row>
    <row r="161" spans="16:16">
      <c r="P161">
        <f t="shared" si="16"/>
        <v>0</v>
      </c>
    </row>
    <row r="162" spans="16:16">
      <c r="P162">
        <f t="shared" si="16"/>
        <v>0</v>
      </c>
    </row>
    <row r="163" spans="16:16">
      <c r="P163">
        <f t="shared" si="16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4:P163"/>
  <sheetViews>
    <sheetView workbookViewId="0">
      <selection activeCell="N6" sqref="N6"/>
    </sheetView>
  </sheetViews>
  <sheetFormatPr defaultRowHeight="15"/>
  <cols>
    <col min="1" max="1" width="15.42578125" bestFit="1" customWidth="1"/>
    <col min="2" max="2" width="21" bestFit="1" customWidth="1"/>
    <col min="3" max="3" width="14.85546875" bestFit="1" customWidth="1"/>
    <col min="4" max="4" width="14.28515625" bestFit="1" customWidth="1"/>
    <col min="5" max="5" width="14.85546875" bestFit="1" customWidth="1"/>
    <col min="6" max="6" width="19" bestFit="1" customWidth="1"/>
    <col min="7" max="7" width="11" bestFit="1" customWidth="1"/>
    <col min="8" max="8" width="18.28515625" bestFit="1" customWidth="1"/>
    <col min="9" max="9" width="23" bestFit="1" customWidth="1"/>
    <col min="10" max="10" width="27.140625" bestFit="1" customWidth="1"/>
    <col min="11" max="11" width="10.7109375" bestFit="1" customWidth="1"/>
    <col min="13" max="13" width="30.5703125" bestFit="1" customWidth="1"/>
    <col min="16" max="16" width="16.28515625" customWidth="1"/>
  </cols>
  <sheetData>
    <row r="4" spans="1:16" s="10" customFormat="1">
      <c r="E4" s="10" t="s">
        <v>15</v>
      </c>
      <c r="F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3" t="s">
        <v>29</v>
      </c>
      <c r="O4" s="10" t="s">
        <v>27</v>
      </c>
      <c r="P4" s="10" t="s">
        <v>26</v>
      </c>
    </row>
    <row r="5" spans="1:16" s="8" customFormat="1">
      <c r="A5" t="s">
        <v>9</v>
      </c>
      <c r="B5" s="7" t="s">
        <v>0</v>
      </c>
      <c r="C5" s="8" t="s">
        <v>1</v>
      </c>
      <c r="D5" t="s">
        <v>8</v>
      </c>
      <c r="E5" s="1" t="s">
        <v>12</v>
      </c>
      <c r="F5" s="1" t="s">
        <v>10</v>
      </c>
      <c r="G5" s="5" t="s">
        <v>14</v>
      </c>
      <c r="H5" s="1" t="s">
        <v>11</v>
      </c>
      <c r="I5" s="1" t="s">
        <v>2</v>
      </c>
      <c r="J5" s="1" t="s">
        <v>13</v>
      </c>
      <c r="K5" s="1" t="s">
        <v>4</v>
      </c>
      <c r="L5" s="1" t="s">
        <v>7</v>
      </c>
      <c r="M5" s="1" t="s">
        <v>3</v>
      </c>
      <c r="N5" s="14" t="s">
        <v>32</v>
      </c>
      <c r="O5" s="1" t="s">
        <v>28</v>
      </c>
      <c r="P5" t="s">
        <v>30</v>
      </c>
    </row>
    <row r="6" spans="1:16">
      <c r="A6">
        <f>B6/1000000</f>
        <v>1.2500000000000001E-6</v>
      </c>
      <c r="B6" s="3">
        <v>1.25</v>
      </c>
      <c r="C6">
        <f>wavelength_to_freq(B6)</f>
        <v>239833958400000</v>
      </c>
      <c r="D6">
        <f>C6/1000000000000</f>
        <v>239.8339584</v>
      </c>
      <c r="E6" s="3">
        <f>G6*1E-20</f>
        <v>2.7874777E-21</v>
      </c>
      <c r="F6">
        <f>sr_to_arcsec2(E6)</f>
        <v>6.5505727501565665E-32</v>
      </c>
      <c r="G6" s="15">
        <v>0.27874777000000001</v>
      </c>
      <c r="H6">
        <f>Inu_to_Ilambda(E6,B6)</f>
        <v>5.3482544859418211E-7</v>
      </c>
      <c r="I6">
        <f>sr_to_arcsec2(H6)</f>
        <v>1.2568398339657787E-17</v>
      </c>
      <c r="J6">
        <f>Inu_to_Nnu(E6,C6)</f>
        <v>1.754061009847804E-2</v>
      </c>
      <c r="K6">
        <f>sr_to_arcsec2(J6)</f>
        <v>4.1220434707768726E-13</v>
      </c>
      <c r="L6">
        <f>Ilambda_to_Nlambda(H6,B6)</f>
        <v>3365467162135.2012</v>
      </c>
      <c r="M6" s="4">
        <f>sr_to_arcsec2(L6)</f>
        <v>79.088480183463346</v>
      </c>
      <c r="N6">
        <f>L6*A6^2</f>
        <v>5.2585424408362531</v>
      </c>
      <c r="O6">
        <f>Inu_to_Antenna_Temperature(E6,C6)</f>
        <v>1.5773128270195114E-10</v>
      </c>
      <c r="P6">
        <f>0.000139*O6*B6</f>
        <v>2.7405810369464009E-14</v>
      </c>
    </row>
    <row r="7" spans="1:16">
      <c r="A7">
        <f t="shared" ref="A7:A15" si="0">B7/1000000</f>
        <v>2.2000000000000001E-6</v>
      </c>
      <c r="B7" s="3">
        <v>2.2000000000000002</v>
      </c>
      <c r="C7">
        <f t="shared" ref="C7:C15" si="1">wavelength_to_freq(B7)</f>
        <v>136269294545454.53</v>
      </c>
      <c r="D7">
        <f t="shared" ref="D7:D15" si="2">C7/1000000000000</f>
        <v>136.26929454545453</v>
      </c>
      <c r="E7" s="3">
        <f t="shared" ref="E7:E15" si="3">G7*1E-20</f>
        <v>1.8642518999999997E-21</v>
      </c>
      <c r="F7">
        <f t="shared" ref="F7:F15" si="4">sr_to_arcsec2(E7)</f>
        <v>4.3809920687679767E-32</v>
      </c>
      <c r="G7" s="15">
        <v>0.18642518999999999</v>
      </c>
      <c r="H7">
        <f t="shared" ref="H7:H15" si="5">Inu_to_Ilambda(E7,B7)</f>
        <v>1.1547285966728327E-7</v>
      </c>
      <c r="I7">
        <f t="shared" ref="I7:I15" si="6">sr_to_arcsec2(H7)</f>
        <v>2.7136122664556529E-18</v>
      </c>
      <c r="J7">
        <f t="shared" ref="J7:J15" si="7">Inu_to_Nnu(E7,C7)</f>
        <v>2.0646695626556757E-2</v>
      </c>
      <c r="K7">
        <f t="shared" ref="K7:K15" si="8">sr_to_arcsec2(J7)</f>
        <v>4.8519735871644628E-13</v>
      </c>
      <c r="L7">
        <f t="shared" ref="L7:L15" si="9">Ilambda_to_Nlambda(H7,B7)</f>
        <v>1278868476238.9138</v>
      </c>
      <c r="M7" s="4">
        <f t="shared" ref="M7:M15" si="10">sr_to_arcsec2(L7)</f>
        <v>30.053409903458167</v>
      </c>
      <c r="N7">
        <f t="shared" ref="N7:N15" si="11">L7*A7^2</f>
        <v>6.1897234249963438</v>
      </c>
      <c r="O7">
        <f t="shared" ref="O7:O15" si="12">Inu_to_Antenna_Temperature(E7,C7)</f>
        <v>3.2676562496696706E-10</v>
      </c>
      <c r="P7">
        <f>0.000139*O7*B7</f>
        <v>9.9924928114898539E-14</v>
      </c>
    </row>
    <row r="8" spans="1:16">
      <c r="A8">
        <f t="shared" si="0"/>
        <v>3.4999999999999999E-6</v>
      </c>
      <c r="B8" s="3">
        <v>3.5</v>
      </c>
      <c r="C8">
        <f t="shared" si="1"/>
        <v>85654985142857.141</v>
      </c>
      <c r="D8">
        <f t="shared" si="2"/>
        <v>85.654985142857143</v>
      </c>
      <c r="E8" s="3">
        <f t="shared" si="3"/>
        <v>2.2197004999999999E-21</v>
      </c>
      <c r="F8">
        <f t="shared" si="4"/>
        <v>5.2162962985529549E-32</v>
      </c>
      <c r="G8" s="15">
        <v>0.22197005</v>
      </c>
      <c r="H8">
        <f t="shared" si="5"/>
        <v>5.432240381402645E-8</v>
      </c>
      <c r="I8">
        <f t="shared" si="6"/>
        <v>1.2765765198665545E-18</v>
      </c>
      <c r="J8">
        <f t="shared" si="7"/>
        <v>3.9109809853011886E-2</v>
      </c>
      <c r="K8">
        <f t="shared" si="8"/>
        <v>9.1908055331507925E-13</v>
      </c>
      <c r="L8">
        <f t="shared" si="9"/>
        <v>957128623399.91443</v>
      </c>
      <c r="M8" s="4">
        <f t="shared" si="10"/>
        <v>22.492523182654864</v>
      </c>
      <c r="N8">
        <f t="shared" si="11"/>
        <v>11.724825636648951</v>
      </c>
      <c r="O8">
        <f t="shared" si="12"/>
        <v>9.8472933559275929E-10</v>
      </c>
      <c r="P8">
        <f t="shared" ref="P8:P20" si="13">0.000139*O8*B8</f>
        <v>4.7907082176587736E-13</v>
      </c>
    </row>
    <row r="9" spans="1:16">
      <c r="A9">
        <f t="shared" si="0"/>
        <v>4.9000000000000005E-6</v>
      </c>
      <c r="B9" s="3">
        <v>4.9000000000000004</v>
      </c>
      <c r="C9">
        <f t="shared" si="1"/>
        <v>61182132244897.953</v>
      </c>
      <c r="D9">
        <f t="shared" si="2"/>
        <v>61.18213224489795</v>
      </c>
      <c r="E9" s="3">
        <f t="shared" si="3"/>
        <v>1.2907799999999999E-20</v>
      </c>
      <c r="F9">
        <f t="shared" si="4"/>
        <v>3.0333330718473881E-31</v>
      </c>
      <c r="G9" s="15">
        <v>1.29078</v>
      </c>
      <c r="H9">
        <f t="shared" si="5"/>
        <v>1.6116871971238646E-7</v>
      </c>
      <c r="I9">
        <f t="shared" si="6"/>
        <v>3.7874650029508045E-18</v>
      </c>
      <c r="J9">
        <f t="shared" si="7"/>
        <v>0.31839892141709636</v>
      </c>
      <c r="K9">
        <f t="shared" si="8"/>
        <v>7.4823748305289525E-12</v>
      </c>
      <c r="L9">
        <f t="shared" si="9"/>
        <v>3975576513627.2773</v>
      </c>
      <c r="M9" s="4">
        <f t="shared" si="10"/>
        <v>93.426050283126173</v>
      </c>
      <c r="N9">
        <f t="shared" si="11"/>
        <v>95.453592092190959</v>
      </c>
      <c r="O9">
        <f t="shared" si="12"/>
        <v>1.1223564198507801E-8</v>
      </c>
      <c r="P9">
        <f t="shared" si="13"/>
        <v>7.6443695756036627E-12</v>
      </c>
    </row>
    <row r="10" spans="1:16">
      <c r="A10">
        <f t="shared" si="0"/>
        <v>1.2E-5</v>
      </c>
      <c r="B10" s="3">
        <v>12</v>
      </c>
      <c r="C10">
        <f t="shared" si="1"/>
        <v>24982704000000</v>
      </c>
      <c r="D10">
        <f t="shared" si="2"/>
        <v>24.982703999999998</v>
      </c>
      <c r="E10" s="3">
        <f t="shared" si="3"/>
        <v>2.2609784999999997E-19</v>
      </c>
      <c r="F10">
        <f t="shared" si="4"/>
        <v>5.3132996008505703E-30</v>
      </c>
      <c r="G10" s="15">
        <v>22.609784999999999</v>
      </c>
      <c r="H10">
        <f t="shared" si="5"/>
        <v>4.7071130513219996E-7</v>
      </c>
      <c r="I10">
        <f t="shared" si="6"/>
        <v>1.1061715932613996E-17</v>
      </c>
      <c r="J10">
        <f t="shared" si="7"/>
        <v>13.658435587542117</v>
      </c>
      <c r="K10">
        <f t="shared" si="8"/>
        <v>3.2097324390979731E-10</v>
      </c>
      <c r="L10">
        <f t="shared" si="9"/>
        <v>28435387782219.234</v>
      </c>
      <c r="M10" s="4">
        <f t="shared" si="10"/>
        <v>668.23162870985573</v>
      </c>
      <c r="N10">
        <f t="shared" si="11"/>
        <v>4094.6958406395702</v>
      </c>
      <c r="O10">
        <f t="shared" si="12"/>
        <v>1.1790855909324661E-6</v>
      </c>
      <c r="P10">
        <f t="shared" si="13"/>
        <v>1.966714765675353E-9</v>
      </c>
    </row>
    <row r="11" spans="1:16">
      <c r="A11">
        <f t="shared" si="0"/>
        <v>2.5000000000000001E-5</v>
      </c>
      <c r="B11" s="3">
        <v>25</v>
      </c>
      <c r="C11">
        <f t="shared" si="1"/>
        <v>11991697920000</v>
      </c>
      <c r="D11">
        <f t="shared" si="2"/>
        <v>11.99169792</v>
      </c>
      <c r="E11" s="3">
        <f t="shared" si="3"/>
        <v>3.4347034999999996E-19</v>
      </c>
      <c r="F11">
        <f t="shared" si="4"/>
        <v>8.0715534161824443E-30</v>
      </c>
      <c r="G11" s="15">
        <v>34.347034999999998</v>
      </c>
      <c r="H11">
        <f t="shared" si="5"/>
        <v>1.6475170726706686E-7</v>
      </c>
      <c r="I11">
        <f t="shared" si="6"/>
        <v>3.8716652124801564E-18</v>
      </c>
      <c r="J11">
        <f t="shared" si="7"/>
        <v>43.22674574033568</v>
      </c>
      <c r="K11">
        <f t="shared" si="8"/>
        <v>1.015828548958757E-9</v>
      </c>
      <c r="L11">
        <f t="shared" si="9"/>
        <v>20734483079310.09</v>
      </c>
      <c r="M11" s="4">
        <f t="shared" si="10"/>
        <v>487.26036390501378</v>
      </c>
      <c r="N11">
        <f t="shared" si="11"/>
        <v>12959.051924568806</v>
      </c>
      <c r="O11">
        <f t="shared" si="12"/>
        <v>7.7741994313480028E-6</v>
      </c>
      <c r="P11">
        <f t="shared" si="13"/>
        <v>2.7015343023934306E-8</v>
      </c>
    </row>
    <row r="12" spans="1:16">
      <c r="A12">
        <f t="shared" si="0"/>
        <v>6.0000000000000002E-5</v>
      </c>
      <c r="B12" s="3">
        <v>60</v>
      </c>
      <c r="C12">
        <f t="shared" si="1"/>
        <v>4996540800000</v>
      </c>
      <c r="D12">
        <f t="shared" si="2"/>
        <v>4.9965408</v>
      </c>
      <c r="E12" s="3">
        <f t="shared" si="3"/>
        <v>8.4531840999999992E-20</v>
      </c>
      <c r="F12">
        <f t="shared" si="4"/>
        <v>1.986498310552108E-30</v>
      </c>
      <c r="G12" s="15">
        <v>8.4531840999999996</v>
      </c>
      <c r="H12">
        <f t="shared" si="5"/>
        <v>7.0394465409268803E-9</v>
      </c>
      <c r="I12">
        <f t="shared" si="6"/>
        <v>1.6542699763007798E-19</v>
      </c>
      <c r="J12">
        <f t="shared" si="7"/>
        <v>25.532589217342224</v>
      </c>
      <c r="K12">
        <f t="shared" si="8"/>
        <v>6.0001586081949044E-10</v>
      </c>
      <c r="L12">
        <f t="shared" si="9"/>
        <v>2126243729234.8418</v>
      </c>
      <c r="M12" s="4">
        <f t="shared" si="10"/>
        <v>49.966728820528431</v>
      </c>
      <c r="N12">
        <f t="shared" si="11"/>
        <v>7654.4774252454308</v>
      </c>
      <c r="O12">
        <f t="shared" si="12"/>
        <v>1.1020701401859226E-5</v>
      </c>
      <c r="P12">
        <f t="shared" si="13"/>
        <v>9.1912649691505927E-8</v>
      </c>
    </row>
    <row r="13" spans="1:16">
      <c r="A13">
        <f t="shared" si="0"/>
        <v>1E-4</v>
      </c>
      <c r="B13" s="3">
        <v>100</v>
      </c>
      <c r="C13">
        <f t="shared" si="1"/>
        <v>2997924480000</v>
      </c>
      <c r="D13">
        <f t="shared" si="2"/>
        <v>2.99792448</v>
      </c>
      <c r="E13" s="3">
        <f t="shared" si="3"/>
        <v>2.8381699000000001E-20</v>
      </c>
      <c r="F13">
        <f t="shared" si="4"/>
        <v>6.6696994229781953E-31</v>
      </c>
      <c r="G13" s="15">
        <v>2.8381699</v>
      </c>
      <c r="H13">
        <f t="shared" si="5"/>
        <v>8.5086190216091524E-10</v>
      </c>
      <c r="I13">
        <f t="shared" si="6"/>
        <v>1.9995255174388206E-20</v>
      </c>
      <c r="J13">
        <f t="shared" si="7"/>
        <v>14.287678530059315</v>
      </c>
      <c r="K13">
        <f t="shared" si="8"/>
        <v>3.3576045340920062E-10</v>
      </c>
      <c r="L13">
        <f t="shared" si="9"/>
        <v>428333812276.35242</v>
      </c>
      <c r="M13" s="4">
        <f t="shared" si="10"/>
        <v>10.065844826913422</v>
      </c>
      <c r="N13">
        <f t="shared" si="11"/>
        <v>4283.3381227635246</v>
      </c>
      <c r="O13">
        <f t="shared" si="12"/>
        <v>1.0278383015080761E-5</v>
      </c>
      <c r="P13">
        <f t="shared" si="13"/>
        <v>1.4286952390962257E-7</v>
      </c>
    </row>
    <row r="14" spans="1:16">
      <c r="A14">
        <f t="shared" si="0"/>
        <v>1.3999999999999999E-4</v>
      </c>
      <c r="B14" s="3">
        <v>140</v>
      </c>
      <c r="C14">
        <f t="shared" si="1"/>
        <v>2141374628571.4285</v>
      </c>
      <c r="D14">
        <f t="shared" si="2"/>
        <v>2.1413746285714286</v>
      </c>
      <c r="E14" s="3">
        <f t="shared" si="3"/>
        <v>1.3197316999999998E-20</v>
      </c>
      <c r="F14">
        <f t="shared" si="4"/>
        <v>3.1013695684588971E-31</v>
      </c>
      <c r="G14" s="15">
        <v>1.3197317</v>
      </c>
      <c r="H14">
        <f t="shared" si="5"/>
        <v>2.0185999849295997E-10</v>
      </c>
      <c r="I14">
        <f t="shared" si="6"/>
        <v>4.7437100769438592E-21</v>
      </c>
      <c r="J14">
        <f t="shared" si="7"/>
        <v>9.301156772094636</v>
      </c>
      <c r="K14">
        <f t="shared" si="8"/>
        <v>2.1857718932143324E-10</v>
      </c>
      <c r="L14">
        <f t="shared" si="9"/>
        <v>142266150915.20554</v>
      </c>
      <c r="M14" s="4">
        <f t="shared" si="10"/>
        <v>3.343254625695506</v>
      </c>
      <c r="N14">
        <f t="shared" si="11"/>
        <v>2788.4165579380278</v>
      </c>
      <c r="O14">
        <f t="shared" si="12"/>
        <v>9.3675954578679604E-6</v>
      </c>
      <c r="P14">
        <f t="shared" si="13"/>
        <v>1.822934076101105E-7</v>
      </c>
    </row>
    <row r="15" spans="1:16">
      <c r="A15">
        <f t="shared" si="0"/>
        <v>2.4000000000000001E-4</v>
      </c>
      <c r="B15" s="3">
        <v>240</v>
      </c>
      <c r="C15">
        <f t="shared" si="1"/>
        <v>1249135200000</v>
      </c>
      <c r="D15">
        <f t="shared" si="2"/>
        <v>1.2491352</v>
      </c>
      <c r="E15" s="3">
        <f t="shared" si="3"/>
        <v>4.1253054999999998E-21</v>
      </c>
      <c r="F15">
        <f t="shared" si="4"/>
        <v>9.6944681546227283E-32</v>
      </c>
      <c r="G15" s="15">
        <v>0.41253055</v>
      </c>
      <c r="H15">
        <f t="shared" si="5"/>
        <v>2.1471101295015E-11</v>
      </c>
      <c r="I15">
        <f t="shared" si="6"/>
        <v>5.0457089238409551E-22</v>
      </c>
      <c r="J15">
        <f t="shared" si="7"/>
        <v>4.9841446480524461</v>
      </c>
      <c r="K15">
        <f t="shared" si="8"/>
        <v>1.1712740200350675E-10</v>
      </c>
      <c r="L15">
        <f t="shared" si="9"/>
        <v>25941127174.058006</v>
      </c>
      <c r="M15" s="4">
        <f t="shared" si="10"/>
        <v>0.60961650302971171</v>
      </c>
      <c r="N15">
        <f t="shared" si="11"/>
        <v>1494.208925225741</v>
      </c>
      <c r="O15">
        <f t="shared" si="12"/>
        <v>8.6052800117196231E-6</v>
      </c>
      <c r="P15">
        <f t="shared" si="13"/>
        <v>2.8707214119096662E-7</v>
      </c>
    </row>
    <row r="16" spans="1:16">
      <c r="P16">
        <f t="shared" si="13"/>
        <v>0</v>
      </c>
    </row>
    <row r="17" spans="4:16">
      <c r="P17">
        <f t="shared" si="13"/>
        <v>0</v>
      </c>
    </row>
    <row r="18" spans="4:16">
      <c r="P18">
        <f t="shared" si="13"/>
        <v>0</v>
      </c>
    </row>
    <row r="19" spans="4:16">
      <c r="P19">
        <f t="shared" si="13"/>
        <v>0</v>
      </c>
    </row>
    <row r="20" spans="4:16">
      <c r="P20">
        <f t="shared" si="13"/>
        <v>0</v>
      </c>
    </row>
    <row r="21" spans="4:16">
      <c r="P21">
        <f t="shared" ref="P21:P84" si="14">0.000139*O21*B21</f>
        <v>0</v>
      </c>
    </row>
    <row r="22" spans="4:16">
      <c r="D22" s="6"/>
      <c r="P22">
        <f t="shared" si="14"/>
        <v>0</v>
      </c>
    </row>
    <row r="23" spans="4:16">
      <c r="D23" s="6"/>
      <c r="P23">
        <f t="shared" si="14"/>
        <v>0</v>
      </c>
    </row>
    <row r="24" spans="4:16">
      <c r="D24" s="6"/>
      <c r="P24">
        <f t="shared" si="14"/>
        <v>0</v>
      </c>
    </row>
    <row r="25" spans="4:16">
      <c r="D25" s="6"/>
      <c r="P25">
        <f t="shared" si="14"/>
        <v>0</v>
      </c>
    </row>
    <row r="26" spans="4:16">
      <c r="D26" s="6"/>
      <c r="P26">
        <f t="shared" si="14"/>
        <v>0</v>
      </c>
    </row>
    <row r="27" spans="4:16">
      <c r="D27" s="6"/>
      <c r="P27">
        <f t="shared" si="14"/>
        <v>0</v>
      </c>
    </row>
    <row r="28" spans="4:16">
      <c r="D28" s="6"/>
      <c r="P28">
        <f t="shared" si="14"/>
        <v>0</v>
      </c>
    </row>
    <row r="29" spans="4:16">
      <c r="D29" s="6"/>
      <c r="P29">
        <f t="shared" si="14"/>
        <v>0</v>
      </c>
    </row>
    <row r="30" spans="4:16">
      <c r="D30" s="6"/>
      <c r="P30">
        <f t="shared" si="14"/>
        <v>0</v>
      </c>
    </row>
    <row r="31" spans="4:16">
      <c r="D31" s="6"/>
      <c r="P31">
        <f t="shared" si="14"/>
        <v>0</v>
      </c>
    </row>
    <row r="32" spans="4:16">
      <c r="P32">
        <f t="shared" si="14"/>
        <v>0</v>
      </c>
    </row>
    <row r="33" spans="16:16">
      <c r="P33">
        <f t="shared" si="14"/>
        <v>0</v>
      </c>
    </row>
    <row r="34" spans="16:16">
      <c r="P34">
        <f t="shared" si="14"/>
        <v>0</v>
      </c>
    </row>
    <row r="35" spans="16:16">
      <c r="P35">
        <f t="shared" si="14"/>
        <v>0</v>
      </c>
    </row>
    <row r="36" spans="16:16">
      <c r="P36">
        <f t="shared" si="14"/>
        <v>0</v>
      </c>
    </row>
    <row r="37" spans="16:16">
      <c r="P37">
        <f t="shared" si="14"/>
        <v>0</v>
      </c>
    </row>
    <row r="38" spans="16:16">
      <c r="P38">
        <f t="shared" si="14"/>
        <v>0</v>
      </c>
    </row>
    <row r="39" spans="16:16">
      <c r="P39">
        <f t="shared" si="14"/>
        <v>0</v>
      </c>
    </row>
    <row r="40" spans="16:16">
      <c r="P40">
        <f t="shared" si="14"/>
        <v>0</v>
      </c>
    </row>
    <row r="41" spans="16:16">
      <c r="P41">
        <f t="shared" si="14"/>
        <v>0</v>
      </c>
    </row>
    <row r="42" spans="16:16">
      <c r="P42">
        <f t="shared" si="14"/>
        <v>0</v>
      </c>
    </row>
    <row r="43" spans="16:16">
      <c r="P43">
        <f t="shared" si="14"/>
        <v>0</v>
      </c>
    </row>
    <row r="44" spans="16:16">
      <c r="P44">
        <f t="shared" si="14"/>
        <v>0</v>
      </c>
    </row>
    <row r="45" spans="16:16">
      <c r="P45">
        <f t="shared" si="14"/>
        <v>0</v>
      </c>
    </row>
    <row r="46" spans="16:16">
      <c r="P46">
        <f t="shared" si="14"/>
        <v>0</v>
      </c>
    </row>
    <row r="47" spans="16:16">
      <c r="P47">
        <f t="shared" si="14"/>
        <v>0</v>
      </c>
    </row>
    <row r="48" spans="16:16">
      <c r="P48">
        <f t="shared" si="14"/>
        <v>0</v>
      </c>
    </row>
    <row r="49" spans="16:16">
      <c r="P49">
        <f t="shared" si="14"/>
        <v>0</v>
      </c>
    </row>
    <row r="50" spans="16:16">
      <c r="P50">
        <f t="shared" si="14"/>
        <v>0</v>
      </c>
    </row>
    <row r="51" spans="16:16">
      <c r="P51">
        <f t="shared" si="14"/>
        <v>0</v>
      </c>
    </row>
    <row r="52" spans="16:16">
      <c r="P52">
        <f t="shared" si="14"/>
        <v>0</v>
      </c>
    </row>
    <row r="53" spans="16:16">
      <c r="P53">
        <f t="shared" si="14"/>
        <v>0</v>
      </c>
    </row>
    <row r="54" spans="16:16">
      <c r="P54">
        <f t="shared" si="14"/>
        <v>0</v>
      </c>
    </row>
    <row r="55" spans="16:16">
      <c r="P55">
        <f t="shared" si="14"/>
        <v>0</v>
      </c>
    </row>
    <row r="56" spans="16:16">
      <c r="P56">
        <f t="shared" si="14"/>
        <v>0</v>
      </c>
    </row>
    <row r="57" spans="16:16">
      <c r="P57">
        <f t="shared" si="14"/>
        <v>0</v>
      </c>
    </row>
    <row r="58" spans="16:16">
      <c r="P58">
        <f t="shared" si="14"/>
        <v>0</v>
      </c>
    </row>
    <row r="59" spans="16:16">
      <c r="P59">
        <f t="shared" si="14"/>
        <v>0</v>
      </c>
    </row>
    <row r="60" spans="16:16">
      <c r="P60">
        <f t="shared" si="14"/>
        <v>0</v>
      </c>
    </row>
    <row r="61" spans="16:16">
      <c r="P61">
        <f t="shared" si="14"/>
        <v>0</v>
      </c>
    </row>
    <row r="62" spans="16:16">
      <c r="P62">
        <f t="shared" si="14"/>
        <v>0</v>
      </c>
    </row>
    <row r="63" spans="16:16">
      <c r="P63">
        <f t="shared" si="14"/>
        <v>0</v>
      </c>
    </row>
    <row r="64" spans="16:16">
      <c r="P64">
        <f t="shared" si="14"/>
        <v>0</v>
      </c>
    </row>
    <row r="65" spans="16:16">
      <c r="P65">
        <f t="shared" si="14"/>
        <v>0</v>
      </c>
    </row>
    <row r="66" spans="16:16">
      <c r="P66">
        <f t="shared" si="14"/>
        <v>0</v>
      </c>
    </row>
    <row r="67" spans="16:16">
      <c r="P67">
        <f t="shared" si="14"/>
        <v>0</v>
      </c>
    </row>
    <row r="68" spans="16:16">
      <c r="P68">
        <f t="shared" si="14"/>
        <v>0</v>
      </c>
    </row>
    <row r="69" spans="16:16">
      <c r="P69">
        <f t="shared" si="14"/>
        <v>0</v>
      </c>
    </row>
    <row r="70" spans="16:16">
      <c r="P70">
        <f t="shared" si="14"/>
        <v>0</v>
      </c>
    </row>
    <row r="71" spans="16:16">
      <c r="P71">
        <f t="shared" si="14"/>
        <v>0</v>
      </c>
    </row>
    <row r="72" spans="16:16">
      <c r="P72">
        <f t="shared" si="14"/>
        <v>0</v>
      </c>
    </row>
    <row r="73" spans="16:16">
      <c r="P73">
        <f t="shared" si="14"/>
        <v>0</v>
      </c>
    </row>
    <row r="74" spans="16:16">
      <c r="P74">
        <f t="shared" si="14"/>
        <v>0</v>
      </c>
    </row>
    <row r="75" spans="16:16">
      <c r="P75">
        <f t="shared" si="14"/>
        <v>0</v>
      </c>
    </row>
    <row r="76" spans="16:16">
      <c r="P76">
        <f t="shared" si="14"/>
        <v>0</v>
      </c>
    </row>
    <row r="77" spans="16:16">
      <c r="P77">
        <f t="shared" si="14"/>
        <v>0</v>
      </c>
    </row>
    <row r="78" spans="16:16">
      <c r="P78">
        <f t="shared" si="14"/>
        <v>0</v>
      </c>
    </row>
    <row r="79" spans="16:16">
      <c r="P79">
        <f t="shared" si="14"/>
        <v>0</v>
      </c>
    </row>
    <row r="80" spans="16:16">
      <c r="P80">
        <f t="shared" si="14"/>
        <v>0</v>
      </c>
    </row>
    <row r="81" spans="16:16">
      <c r="P81">
        <f t="shared" si="14"/>
        <v>0</v>
      </c>
    </row>
    <row r="82" spans="16:16">
      <c r="P82">
        <f t="shared" si="14"/>
        <v>0</v>
      </c>
    </row>
    <row r="83" spans="16:16">
      <c r="P83">
        <f t="shared" si="14"/>
        <v>0</v>
      </c>
    </row>
    <row r="84" spans="16:16">
      <c r="P84">
        <f t="shared" si="14"/>
        <v>0</v>
      </c>
    </row>
    <row r="85" spans="16:16">
      <c r="P85">
        <f t="shared" ref="P85:P148" si="15">0.000139*O85*B85</f>
        <v>0</v>
      </c>
    </row>
    <row r="86" spans="16:16">
      <c r="P86">
        <f t="shared" si="15"/>
        <v>0</v>
      </c>
    </row>
    <row r="87" spans="16:16">
      <c r="P87">
        <f t="shared" si="15"/>
        <v>0</v>
      </c>
    </row>
    <row r="88" spans="16:16">
      <c r="P88">
        <f t="shared" si="15"/>
        <v>0</v>
      </c>
    </row>
    <row r="89" spans="16:16">
      <c r="P89">
        <f t="shared" si="15"/>
        <v>0</v>
      </c>
    </row>
    <row r="90" spans="16:16">
      <c r="P90">
        <f t="shared" si="15"/>
        <v>0</v>
      </c>
    </row>
    <row r="91" spans="16:16">
      <c r="P91">
        <f t="shared" si="15"/>
        <v>0</v>
      </c>
    </row>
    <row r="92" spans="16:16">
      <c r="P92">
        <f t="shared" si="15"/>
        <v>0</v>
      </c>
    </row>
    <row r="93" spans="16:16">
      <c r="P93">
        <f t="shared" si="15"/>
        <v>0</v>
      </c>
    </row>
    <row r="94" spans="16:16">
      <c r="P94">
        <f t="shared" si="15"/>
        <v>0</v>
      </c>
    </row>
    <row r="95" spans="16:16">
      <c r="P95">
        <f t="shared" si="15"/>
        <v>0</v>
      </c>
    </row>
    <row r="96" spans="16:16">
      <c r="P96">
        <f t="shared" si="15"/>
        <v>0</v>
      </c>
    </row>
    <row r="97" spans="16:16">
      <c r="P97">
        <f t="shared" si="15"/>
        <v>0</v>
      </c>
    </row>
    <row r="98" spans="16:16">
      <c r="P98">
        <f t="shared" si="15"/>
        <v>0</v>
      </c>
    </row>
    <row r="99" spans="16:16">
      <c r="P99">
        <f t="shared" si="15"/>
        <v>0</v>
      </c>
    </row>
    <row r="100" spans="16:16">
      <c r="P100">
        <f t="shared" si="15"/>
        <v>0</v>
      </c>
    </row>
    <row r="101" spans="16:16">
      <c r="P101">
        <f t="shared" si="15"/>
        <v>0</v>
      </c>
    </row>
    <row r="102" spans="16:16">
      <c r="P102">
        <f t="shared" si="15"/>
        <v>0</v>
      </c>
    </row>
    <row r="103" spans="16:16">
      <c r="P103">
        <f t="shared" si="15"/>
        <v>0</v>
      </c>
    </row>
    <row r="104" spans="16:16">
      <c r="P104">
        <f t="shared" si="15"/>
        <v>0</v>
      </c>
    </row>
    <row r="105" spans="16:16">
      <c r="P105">
        <f t="shared" si="15"/>
        <v>0</v>
      </c>
    </row>
    <row r="106" spans="16:16">
      <c r="P106">
        <f t="shared" si="15"/>
        <v>0</v>
      </c>
    </row>
    <row r="107" spans="16:16">
      <c r="P107">
        <f t="shared" si="15"/>
        <v>0</v>
      </c>
    </row>
    <row r="108" spans="16:16">
      <c r="P108">
        <f t="shared" si="15"/>
        <v>0</v>
      </c>
    </row>
    <row r="109" spans="16:16">
      <c r="P109">
        <f t="shared" si="15"/>
        <v>0</v>
      </c>
    </row>
    <row r="110" spans="16:16">
      <c r="P110">
        <f t="shared" si="15"/>
        <v>0</v>
      </c>
    </row>
    <row r="111" spans="16:16">
      <c r="P111">
        <f t="shared" si="15"/>
        <v>0</v>
      </c>
    </row>
    <row r="112" spans="16:16">
      <c r="P112">
        <f t="shared" si="15"/>
        <v>0</v>
      </c>
    </row>
    <row r="113" spans="16:16">
      <c r="P113">
        <f t="shared" si="15"/>
        <v>0</v>
      </c>
    </row>
    <row r="114" spans="16:16">
      <c r="P114">
        <f t="shared" si="15"/>
        <v>0</v>
      </c>
    </row>
    <row r="115" spans="16:16">
      <c r="P115">
        <f t="shared" si="15"/>
        <v>0</v>
      </c>
    </row>
    <row r="116" spans="16:16">
      <c r="P116">
        <f t="shared" si="15"/>
        <v>0</v>
      </c>
    </row>
    <row r="117" spans="16:16">
      <c r="P117">
        <f t="shared" si="15"/>
        <v>0</v>
      </c>
    </row>
    <row r="118" spans="16:16">
      <c r="P118">
        <f t="shared" si="15"/>
        <v>0</v>
      </c>
    </row>
    <row r="119" spans="16:16">
      <c r="P119">
        <f t="shared" si="15"/>
        <v>0</v>
      </c>
    </row>
    <row r="120" spans="16:16">
      <c r="P120">
        <f t="shared" si="15"/>
        <v>0</v>
      </c>
    </row>
    <row r="121" spans="16:16">
      <c r="P121">
        <f t="shared" si="15"/>
        <v>0</v>
      </c>
    </row>
    <row r="122" spans="16:16">
      <c r="P122">
        <f t="shared" si="15"/>
        <v>0</v>
      </c>
    </row>
    <row r="123" spans="16:16">
      <c r="P123">
        <f t="shared" si="15"/>
        <v>0</v>
      </c>
    </row>
    <row r="124" spans="16:16">
      <c r="P124">
        <f t="shared" si="15"/>
        <v>0</v>
      </c>
    </row>
    <row r="125" spans="16:16">
      <c r="P125">
        <f t="shared" si="15"/>
        <v>0</v>
      </c>
    </row>
    <row r="126" spans="16:16">
      <c r="P126">
        <f t="shared" si="15"/>
        <v>0</v>
      </c>
    </row>
    <row r="127" spans="16:16">
      <c r="P127">
        <f t="shared" si="15"/>
        <v>0</v>
      </c>
    </row>
    <row r="128" spans="16:16">
      <c r="P128">
        <f t="shared" si="15"/>
        <v>0</v>
      </c>
    </row>
    <row r="129" spans="16:16">
      <c r="P129">
        <f t="shared" si="15"/>
        <v>0</v>
      </c>
    </row>
    <row r="130" spans="16:16">
      <c r="P130">
        <f t="shared" si="15"/>
        <v>0</v>
      </c>
    </row>
    <row r="131" spans="16:16">
      <c r="P131">
        <f t="shared" si="15"/>
        <v>0</v>
      </c>
    </row>
    <row r="132" spans="16:16">
      <c r="P132">
        <f t="shared" si="15"/>
        <v>0</v>
      </c>
    </row>
    <row r="133" spans="16:16">
      <c r="P133">
        <f t="shared" si="15"/>
        <v>0</v>
      </c>
    </row>
    <row r="134" spans="16:16">
      <c r="P134">
        <f t="shared" si="15"/>
        <v>0</v>
      </c>
    </row>
    <row r="135" spans="16:16">
      <c r="P135">
        <f t="shared" si="15"/>
        <v>0</v>
      </c>
    </row>
    <row r="136" spans="16:16">
      <c r="P136">
        <f t="shared" si="15"/>
        <v>0</v>
      </c>
    </row>
    <row r="137" spans="16:16">
      <c r="P137">
        <f t="shared" si="15"/>
        <v>0</v>
      </c>
    </row>
    <row r="138" spans="16:16">
      <c r="P138">
        <f t="shared" si="15"/>
        <v>0</v>
      </c>
    </row>
    <row r="139" spans="16:16">
      <c r="P139">
        <f t="shared" si="15"/>
        <v>0</v>
      </c>
    </row>
    <row r="140" spans="16:16">
      <c r="P140">
        <f t="shared" si="15"/>
        <v>0</v>
      </c>
    </row>
    <row r="141" spans="16:16">
      <c r="P141">
        <f t="shared" si="15"/>
        <v>0</v>
      </c>
    </row>
    <row r="142" spans="16:16">
      <c r="P142">
        <f t="shared" si="15"/>
        <v>0</v>
      </c>
    </row>
    <row r="143" spans="16:16">
      <c r="P143">
        <f t="shared" si="15"/>
        <v>0</v>
      </c>
    </row>
    <row r="144" spans="16:16">
      <c r="P144">
        <f t="shared" si="15"/>
        <v>0</v>
      </c>
    </row>
    <row r="145" spans="16:16">
      <c r="P145">
        <f t="shared" si="15"/>
        <v>0</v>
      </c>
    </row>
    <row r="146" spans="16:16">
      <c r="P146">
        <f t="shared" si="15"/>
        <v>0</v>
      </c>
    </row>
    <row r="147" spans="16:16">
      <c r="P147">
        <f t="shared" si="15"/>
        <v>0</v>
      </c>
    </row>
    <row r="148" spans="16:16">
      <c r="P148">
        <f t="shared" si="15"/>
        <v>0</v>
      </c>
    </row>
    <row r="149" spans="16:16">
      <c r="P149">
        <f t="shared" ref="P149:P163" si="16">0.000139*O149*B149</f>
        <v>0</v>
      </c>
    </row>
    <row r="150" spans="16:16">
      <c r="P150">
        <f t="shared" si="16"/>
        <v>0</v>
      </c>
    </row>
    <row r="151" spans="16:16">
      <c r="P151">
        <f t="shared" si="16"/>
        <v>0</v>
      </c>
    </row>
    <row r="152" spans="16:16">
      <c r="P152">
        <f t="shared" si="16"/>
        <v>0</v>
      </c>
    </row>
    <row r="153" spans="16:16">
      <c r="P153">
        <f t="shared" si="16"/>
        <v>0</v>
      </c>
    </row>
    <row r="154" spans="16:16">
      <c r="P154">
        <f t="shared" si="16"/>
        <v>0</v>
      </c>
    </row>
    <row r="155" spans="16:16">
      <c r="P155">
        <f t="shared" si="16"/>
        <v>0</v>
      </c>
    </row>
    <row r="156" spans="16:16">
      <c r="P156">
        <f t="shared" si="16"/>
        <v>0</v>
      </c>
    </row>
    <row r="157" spans="16:16">
      <c r="P157">
        <f t="shared" si="16"/>
        <v>0</v>
      </c>
    </row>
    <row r="158" spans="16:16">
      <c r="P158">
        <f t="shared" si="16"/>
        <v>0</v>
      </c>
    </row>
    <row r="159" spans="16:16">
      <c r="P159">
        <f t="shared" si="16"/>
        <v>0</v>
      </c>
    </row>
    <row r="160" spans="16:16">
      <c r="P160">
        <f t="shared" si="16"/>
        <v>0</v>
      </c>
    </row>
    <row r="161" spans="16:16">
      <c r="P161">
        <f t="shared" si="16"/>
        <v>0</v>
      </c>
    </row>
    <row r="162" spans="16:16">
      <c r="P162">
        <f t="shared" si="16"/>
        <v>0</v>
      </c>
    </row>
    <row r="163" spans="16:16">
      <c r="P163">
        <f t="shared" si="16"/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4:P163"/>
  <sheetViews>
    <sheetView topLeftCell="B1" workbookViewId="0">
      <selection activeCell="G6" sqref="G6"/>
    </sheetView>
  </sheetViews>
  <sheetFormatPr defaultRowHeight="15"/>
  <cols>
    <col min="1" max="1" width="15.42578125" bestFit="1" customWidth="1"/>
    <col min="2" max="2" width="21" bestFit="1" customWidth="1"/>
    <col min="3" max="3" width="14.85546875" bestFit="1" customWidth="1"/>
    <col min="4" max="4" width="14.28515625" bestFit="1" customWidth="1"/>
    <col min="5" max="5" width="14.85546875" bestFit="1" customWidth="1"/>
    <col min="6" max="6" width="19" bestFit="1" customWidth="1"/>
    <col min="7" max="7" width="10" bestFit="1" customWidth="1"/>
    <col min="8" max="8" width="18.28515625" bestFit="1" customWidth="1"/>
    <col min="9" max="9" width="22.42578125" bestFit="1" customWidth="1"/>
    <col min="10" max="10" width="23" bestFit="1" customWidth="1"/>
    <col min="11" max="11" width="27.140625" bestFit="1" customWidth="1"/>
    <col min="12" max="12" width="26.42578125" bestFit="1" customWidth="1"/>
    <col min="13" max="13" width="30.5703125" bestFit="1" customWidth="1"/>
    <col min="14" max="14" width="12" bestFit="1" customWidth="1"/>
    <col min="15" max="15" width="13.140625" bestFit="1" customWidth="1"/>
    <col min="16" max="16" width="16.28515625" customWidth="1"/>
  </cols>
  <sheetData>
    <row r="4" spans="1:16" s="10" customFormat="1">
      <c r="E4" s="10" t="s">
        <v>15</v>
      </c>
      <c r="F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3" t="s">
        <v>26</v>
      </c>
      <c r="O4" s="10" t="s">
        <v>6</v>
      </c>
      <c r="P4" s="10" t="s">
        <v>26</v>
      </c>
    </row>
    <row r="5" spans="1:16" s="8" customFormat="1">
      <c r="A5" t="s">
        <v>9</v>
      </c>
      <c r="B5" s="7" t="s">
        <v>0</v>
      </c>
      <c r="C5" s="8" t="s">
        <v>1</v>
      </c>
      <c r="D5" t="s">
        <v>8</v>
      </c>
      <c r="E5" s="1" t="s">
        <v>12</v>
      </c>
      <c r="F5" s="1" t="s">
        <v>10</v>
      </c>
      <c r="G5" s="5" t="s">
        <v>14</v>
      </c>
      <c r="H5" s="1" t="s">
        <v>11</v>
      </c>
      <c r="I5" s="1" t="s">
        <v>2</v>
      </c>
      <c r="J5" s="1" t="s">
        <v>13</v>
      </c>
      <c r="K5" s="1" t="s">
        <v>4</v>
      </c>
      <c r="L5" s="1" t="s">
        <v>7</v>
      </c>
      <c r="M5" s="1" t="s">
        <v>3</v>
      </c>
      <c r="N5" s="14" t="s">
        <v>32</v>
      </c>
      <c r="O5" s="1" t="s">
        <v>28</v>
      </c>
      <c r="P5" t="s">
        <v>30</v>
      </c>
    </row>
    <row r="6" spans="1:16">
      <c r="A6">
        <f>B6/1000000</f>
        <v>1.2500000000000001E-6</v>
      </c>
      <c r="B6" s="3">
        <v>1.25</v>
      </c>
      <c r="C6">
        <f>wavelength_to_freq(B6)</f>
        <v>239833958400000</v>
      </c>
      <c r="D6">
        <f>C6/1000000000000</f>
        <v>239.8339584</v>
      </c>
      <c r="E6" s="3">
        <f>G6*1E-20</f>
        <v>8.9450488000000003E-20</v>
      </c>
      <c r="F6">
        <f>sr_to_arcsec2(E6)</f>
        <v>2.1020865177899252E-30</v>
      </c>
      <c r="G6" s="15">
        <v>8.9450488000000004</v>
      </c>
      <c r="H6">
        <f>Inu_to_Ilambda(E6,B6)</f>
        <v>1.7162611694281361E-5</v>
      </c>
      <c r="I6">
        <f>sr_to_arcsec2(H6)</f>
        <v>4.0332138436866383E-16</v>
      </c>
      <c r="J6">
        <f>Inu_to_Nnu(E6,C6)</f>
        <v>0.56288024586764895</v>
      </c>
      <c r="K6">
        <f>sr_to_arcsec2(J6)</f>
        <v>1.3227686091200118E-11</v>
      </c>
      <c r="L6">
        <f>Ilambda_to_Nlambda(H6,B6)</f>
        <v>107998237977282.8</v>
      </c>
      <c r="M6" s="4">
        <f>sr_to_arcsec2(L6)</f>
        <v>2537.9586525801183</v>
      </c>
      <c r="N6">
        <f>L6*A6^2</f>
        <v>168.74724683950438</v>
      </c>
      <c r="O6">
        <f>Inu_to_Antenna_Temperature(E6,C6)</f>
        <v>5.0616154563516287E-9</v>
      </c>
      <c r="P6">
        <f>0.000139*O6*B6</f>
        <v>8.7945568554109546E-13</v>
      </c>
    </row>
    <row r="7" spans="1:16">
      <c r="A7">
        <f t="shared" ref="A7:A15" si="0">B7/1000000</f>
        <v>2.2000000000000001E-6</v>
      </c>
      <c r="B7" s="3">
        <v>2.2000000000000002</v>
      </c>
      <c r="C7">
        <f t="shared" ref="C7:C15" si="1">wavelength_to_freq(B7)</f>
        <v>136269294545454.53</v>
      </c>
      <c r="D7">
        <f t="shared" ref="D7:D15" si="2">C7/1000000000000</f>
        <v>136.26929454545453</v>
      </c>
      <c r="E7" s="3">
        <f t="shared" ref="E7:E15" si="3">G7*1E-20</f>
        <v>6.3941908999999998E-20</v>
      </c>
      <c r="F7">
        <f t="shared" ref="F7:F15" si="4">sr_to_arcsec2(E7)</f>
        <v>1.5026348970913414E-30</v>
      </c>
      <c r="G7" s="15">
        <v>6.3941908999999999</v>
      </c>
      <c r="H7">
        <f t="shared" ref="H7:H15" si="5">Inu_to_Ilambda(E7,B7)</f>
        <v>3.960599468781659E-6</v>
      </c>
      <c r="I7">
        <f t="shared" ref="I7:I15" si="6">sr_to_arcsec2(H7)</f>
        <v>9.307408972091762E-17</v>
      </c>
      <c r="J7">
        <f t="shared" ref="J7:J15" si="7">Inu_to_Nnu(E7,C7)</f>
        <v>0.70816027217351385</v>
      </c>
      <c r="K7">
        <f t="shared" ref="K7:K15" si="8">sr_to_arcsec2(J7)</f>
        <v>1.6641766790253701E-11</v>
      </c>
      <c r="L7">
        <f t="shared" ref="L7:L15" si="9">Ilambda_to_Nlambda(H7,B7)</f>
        <v>43863863961000.82</v>
      </c>
      <c r="M7" s="4">
        <f t="shared" ref="M7:M15" si="10">sr_to_arcsec2(L7)</f>
        <v>1030.8008274990204</v>
      </c>
      <c r="N7">
        <f t="shared" ref="N7:N15" si="11">L7*A7^2</f>
        <v>212.30110157124398</v>
      </c>
      <c r="O7">
        <f t="shared" ref="O7:O15" si="12">Inu_to_Antenna_Temperature(E7,C7)</f>
        <v>1.1207722441353521E-8</v>
      </c>
      <c r="P7">
        <f>0.000139*O7*B7</f>
        <v>3.4273215225659068E-12</v>
      </c>
    </row>
    <row r="8" spans="1:16">
      <c r="A8">
        <f t="shared" si="0"/>
        <v>3.4999999999999999E-6</v>
      </c>
      <c r="B8" s="3">
        <v>3.5</v>
      </c>
      <c r="C8">
        <f t="shared" si="1"/>
        <v>85654985142857.141</v>
      </c>
      <c r="D8">
        <f t="shared" si="2"/>
        <v>85.654985142857143</v>
      </c>
      <c r="E8" s="3">
        <f t="shared" si="3"/>
        <v>4.5698581999999996E-19</v>
      </c>
      <c r="F8">
        <f t="shared" si="4"/>
        <v>1.0739167024367418E-29</v>
      </c>
      <c r="G8" s="15">
        <v>45.698582000000002</v>
      </c>
      <c r="H8">
        <f t="shared" si="5"/>
        <v>1.1183746749313255E-5</v>
      </c>
      <c r="I8">
        <f t="shared" si="6"/>
        <v>2.628180548339579E-16</v>
      </c>
      <c r="J8">
        <f t="shared" si="7"/>
        <v>8.0518198404346499</v>
      </c>
      <c r="K8">
        <f t="shared" si="8"/>
        <v>1.8921777073201773E-10</v>
      </c>
      <c r="L8">
        <f t="shared" si="9"/>
        <v>197051002515826.41</v>
      </c>
      <c r="M8" s="4">
        <f t="shared" si="10"/>
        <v>4630.6986688044371</v>
      </c>
      <c r="N8">
        <f t="shared" si="11"/>
        <v>2413.8747808188732</v>
      </c>
      <c r="O8">
        <f t="shared" si="12"/>
        <v>2.0273336105655343E-7</v>
      </c>
      <c r="P8">
        <f t="shared" ref="P8:P20" si="13">0.000139*O8*B8</f>
        <v>9.8629780154013225E-11</v>
      </c>
    </row>
    <row r="9" spans="1:16">
      <c r="A9">
        <f t="shared" si="0"/>
        <v>4.9000000000000005E-6</v>
      </c>
      <c r="B9" s="3">
        <v>4.9000000000000004</v>
      </c>
      <c r="C9">
        <f t="shared" si="1"/>
        <v>61182132244897.953</v>
      </c>
      <c r="D9">
        <f t="shared" si="2"/>
        <v>61.18213224489795</v>
      </c>
      <c r="E9" s="3">
        <f t="shared" si="3"/>
        <v>1.5247524999999999E-18</v>
      </c>
      <c r="F9">
        <f t="shared" si="4"/>
        <v>3.5831684598707636E-29</v>
      </c>
      <c r="G9" s="15">
        <v>152.47524999999999</v>
      </c>
      <c r="H9">
        <f t="shared" si="5"/>
        <v>1.9038287570558928E-5</v>
      </c>
      <c r="I9">
        <f t="shared" si="6"/>
        <v>4.4739976850522521E-16</v>
      </c>
      <c r="J9">
        <f t="shared" si="7"/>
        <v>37.611332018471096</v>
      </c>
      <c r="K9">
        <f t="shared" si="8"/>
        <v>8.8386632336928801E-10</v>
      </c>
      <c r="L9">
        <f t="shared" si="9"/>
        <v>469620712134870</v>
      </c>
      <c r="M9" s="4">
        <f t="shared" si="10"/>
        <v>11036.086996569697</v>
      </c>
      <c r="N9">
        <f t="shared" si="11"/>
        <v>11275.593298358232</v>
      </c>
      <c r="O9">
        <f t="shared" si="12"/>
        <v>1.3257997157211351E-6</v>
      </c>
      <c r="P9">
        <f t="shared" si="13"/>
        <v>9.0300218637766517E-10</v>
      </c>
    </row>
    <row r="10" spans="1:16">
      <c r="A10">
        <f t="shared" si="0"/>
        <v>1.2E-5</v>
      </c>
      <c r="B10" s="3">
        <v>12</v>
      </c>
      <c r="C10">
        <f t="shared" si="1"/>
        <v>24982704000000</v>
      </c>
      <c r="D10">
        <f t="shared" si="2"/>
        <v>24.982703999999998</v>
      </c>
      <c r="E10" s="3">
        <f t="shared" si="3"/>
        <v>5.9345457999999993E-18</v>
      </c>
      <c r="F10">
        <f t="shared" si="4"/>
        <v>1.3946182960328651E-28</v>
      </c>
      <c r="G10" s="15">
        <v>593.45457999999996</v>
      </c>
      <c r="H10">
        <f t="shared" si="5"/>
        <v>1.2355083424653598E-5</v>
      </c>
      <c r="I10">
        <f t="shared" si="6"/>
        <v>2.9034446735644535E-16</v>
      </c>
      <c r="J10">
        <f t="shared" si="7"/>
        <v>358.50235440371773</v>
      </c>
      <c r="K10">
        <f t="shared" si="8"/>
        <v>8.4248055280369248E-9</v>
      </c>
      <c r="L10">
        <f t="shared" si="9"/>
        <v>746363183614264.75</v>
      </c>
      <c r="M10" s="4">
        <f t="shared" si="10"/>
        <v>17539.535230375852</v>
      </c>
      <c r="N10">
        <f t="shared" si="11"/>
        <v>107476.29844045413</v>
      </c>
      <c r="O10">
        <f t="shared" si="12"/>
        <v>3.0948270589520357E-5</v>
      </c>
      <c r="P10">
        <f t="shared" si="13"/>
        <v>5.1621715343319946E-8</v>
      </c>
    </row>
    <row r="11" spans="1:16">
      <c r="A11">
        <f t="shared" si="0"/>
        <v>2.5000000000000001E-5</v>
      </c>
      <c r="B11" s="3">
        <v>25</v>
      </c>
      <c r="C11">
        <f t="shared" si="1"/>
        <v>11991697920000</v>
      </c>
      <c r="D11">
        <f t="shared" si="2"/>
        <v>11.99169792</v>
      </c>
      <c r="E11" s="3">
        <f t="shared" si="3"/>
        <v>6.3135859000000003E-18</v>
      </c>
      <c r="F11">
        <f t="shared" si="4"/>
        <v>1.4836927216426781E-28</v>
      </c>
      <c r="G11" s="15">
        <v>631.35859000000005</v>
      </c>
      <c r="H11">
        <f t="shared" si="5"/>
        <v>3.0284245961908534E-6</v>
      </c>
      <c r="I11">
        <f t="shared" si="6"/>
        <v>7.1167979696166561E-17</v>
      </c>
      <c r="J11">
        <f t="shared" si="7"/>
        <v>794.58320757255603</v>
      </c>
      <c r="K11">
        <f t="shared" si="8"/>
        <v>1.8672705820235922E-8</v>
      </c>
      <c r="L11">
        <f t="shared" si="9"/>
        <v>381136071900590</v>
      </c>
      <c r="M11" s="4">
        <f t="shared" si="10"/>
        <v>8956.6979018118018</v>
      </c>
      <c r="N11">
        <f t="shared" si="11"/>
        <v>238210.04493786875</v>
      </c>
      <c r="O11">
        <f t="shared" si="12"/>
        <v>1.4290338573197593E-4</v>
      </c>
      <c r="P11">
        <f t="shared" si="13"/>
        <v>4.9658926541861624E-7</v>
      </c>
    </row>
    <row r="12" spans="1:16">
      <c r="A12">
        <f t="shared" si="0"/>
        <v>6.0000000000000002E-5</v>
      </c>
      <c r="B12" s="3">
        <v>60</v>
      </c>
      <c r="C12">
        <f t="shared" si="1"/>
        <v>4996540800000</v>
      </c>
      <c r="D12">
        <f t="shared" si="2"/>
        <v>4.9965408</v>
      </c>
      <c r="E12" s="3">
        <f t="shared" si="3"/>
        <v>1.2403573999999999E-18</v>
      </c>
      <c r="F12">
        <f t="shared" si="4"/>
        <v>2.9148399590407655E-29</v>
      </c>
      <c r="G12" s="15">
        <v>124.03574</v>
      </c>
      <c r="H12">
        <f t="shared" si="5"/>
        <v>1.0329160592803199E-7</v>
      </c>
      <c r="I12">
        <f t="shared" si="6"/>
        <v>2.427352796802919E-18</v>
      </c>
      <c r="J12">
        <f t="shared" si="7"/>
        <v>374.64623510199709</v>
      </c>
      <c r="K12">
        <f t="shared" si="8"/>
        <v>8.8041867334324952E-9</v>
      </c>
      <c r="L12">
        <f t="shared" si="9"/>
        <v>31198919987558.676</v>
      </c>
      <c r="M12" s="4">
        <f t="shared" si="10"/>
        <v>733.17463707356978</v>
      </c>
      <c r="N12">
        <f t="shared" si="11"/>
        <v>112316.11195521124</v>
      </c>
      <c r="O12">
        <f t="shared" si="12"/>
        <v>1.6170958038150932E-4</v>
      </c>
      <c r="P12">
        <f t="shared" si="13"/>
        <v>1.3486579003817877E-6</v>
      </c>
    </row>
    <row r="13" spans="1:16">
      <c r="A13">
        <f t="shared" si="0"/>
        <v>1E-4</v>
      </c>
      <c r="B13" s="3">
        <v>100</v>
      </c>
      <c r="C13">
        <f t="shared" si="1"/>
        <v>2997924480000</v>
      </c>
      <c r="D13">
        <f t="shared" si="2"/>
        <v>2.99792448</v>
      </c>
      <c r="E13" s="3">
        <f t="shared" si="3"/>
        <v>3.9690161000000003E-19</v>
      </c>
      <c r="F13">
        <f t="shared" si="4"/>
        <v>9.3271880559233508E-30</v>
      </c>
      <c r="G13" s="15">
        <v>39.690161000000003</v>
      </c>
      <c r="H13">
        <f t="shared" si="5"/>
        <v>1.189881052770413E-8</v>
      </c>
      <c r="I13">
        <f t="shared" si="6"/>
        <v>2.7962205402416225E-19</v>
      </c>
      <c r="J13">
        <f t="shared" si="7"/>
        <v>199.80490286162842</v>
      </c>
      <c r="K13">
        <f t="shared" si="8"/>
        <v>4.6954153284636605E-9</v>
      </c>
      <c r="L13">
        <f t="shared" si="9"/>
        <v>5990000095128.9795</v>
      </c>
      <c r="M13" s="4">
        <f t="shared" si="10"/>
        <v>140.76500556968449</v>
      </c>
      <c r="N13">
        <f t="shared" si="11"/>
        <v>59900.000951289796</v>
      </c>
      <c r="O13">
        <f t="shared" si="12"/>
        <v>1.437372289404594E-4</v>
      </c>
      <c r="P13">
        <f t="shared" si="13"/>
        <v>1.9979474822723855E-6</v>
      </c>
    </row>
    <row r="14" spans="1:16">
      <c r="A14">
        <f t="shared" si="0"/>
        <v>1.3999999999999999E-4</v>
      </c>
      <c r="B14" s="3">
        <v>140</v>
      </c>
      <c r="C14">
        <f t="shared" si="1"/>
        <v>2141374628571.4285</v>
      </c>
      <c r="D14">
        <f t="shared" si="2"/>
        <v>2.1413746285714286</v>
      </c>
      <c r="E14" s="3">
        <f t="shared" si="3"/>
        <v>1.8084281000000001E-19</v>
      </c>
      <c r="F14">
        <f t="shared" si="4"/>
        <v>4.2498061356607136E-30</v>
      </c>
      <c r="G14" s="15">
        <v>18.084281000000001</v>
      </c>
      <c r="H14">
        <f t="shared" si="5"/>
        <v>2.7660871792397389E-9</v>
      </c>
      <c r="I14">
        <f t="shared" si="6"/>
        <v>6.5003050251793141E-20</v>
      </c>
      <c r="J14">
        <f t="shared" si="7"/>
        <v>127.45373373361599</v>
      </c>
      <c r="K14">
        <f t="shared" si="8"/>
        <v>2.995162813683265E-9</v>
      </c>
      <c r="L14">
        <f t="shared" si="9"/>
        <v>1949472798099.0261</v>
      </c>
      <c r="M14" s="4">
        <f t="shared" si="10"/>
        <v>45.812611840442543</v>
      </c>
      <c r="N14">
        <f t="shared" si="11"/>
        <v>38209.666842740902</v>
      </c>
      <c r="O14">
        <f t="shared" si="12"/>
        <v>1.2836414291966154E-4</v>
      </c>
      <c r="P14">
        <f t="shared" si="13"/>
        <v>2.4979662212166132E-6</v>
      </c>
    </row>
    <row r="15" spans="1:16">
      <c r="A15">
        <f t="shared" si="0"/>
        <v>2.4000000000000001E-4</v>
      </c>
      <c r="B15" s="3">
        <v>240</v>
      </c>
      <c r="C15">
        <f t="shared" si="1"/>
        <v>1249135200000</v>
      </c>
      <c r="D15">
        <f t="shared" si="2"/>
        <v>1.2491352</v>
      </c>
      <c r="E15" s="3">
        <f t="shared" si="3"/>
        <v>5.6156575E-20</v>
      </c>
      <c r="F15">
        <f t="shared" si="4"/>
        <v>1.3196795437578693E-30</v>
      </c>
      <c r="G15" s="15">
        <v>5.6156575000000002</v>
      </c>
      <c r="H15">
        <f t="shared" si="5"/>
        <v>2.9227981059974997E-10</v>
      </c>
      <c r="I15">
        <f t="shared" si="6"/>
        <v>6.8685757117828939E-21</v>
      </c>
      <c r="J15">
        <f t="shared" si="7"/>
        <v>67.847700670703247</v>
      </c>
      <c r="K15">
        <f t="shared" si="8"/>
        <v>1.5944210035269092E-9</v>
      </c>
      <c r="L15">
        <f t="shared" si="9"/>
        <v>353128963111.82928</v>
      </c>
      <c r="M15" s="4">
        <f t="shared" si="10"/>
        <v>8.2985308296866105</v>
      </c>
      <c r="N15">
        <f t="shared" si="11"/>
        <v>20340.228275241367</v>
      </c>
      <c r="O15">
        <f t="shared" si="12"/>
        <v>1.1714115533361927E-4</v>
      </c>
      <c r="P15">
        <f t="shared" si="13"/>
        <v>3.907828941929539E-6</v>
      </c>
    </row>
    <row r="16" spans="1:16">
      <c r="P16">
        <f t="shared" si="13"/>
        <v>0</v>
      </c>
    </row>
    <row r="17" spans="16:16">
      <c r="P17">
        <f t="shared" si="13"/>
        <v>0</v>
      </c>
    </row>
    <row r="18" spans="16:16">
      <c r="P18">
        <f t="shared" si="13"/>
        <v>0</v>
      </c>
    </row>
    <row r="19" spans="16:16">
      <c r="P19">
        <f t="shared" si="13"/>
        <v>0</v>
      </c>
    </row>
    <row r="20" spans="16:16">
      <c r="P20">
        <f t="shared" si="13"/>
        <v>0</v>
      </c>
    </row>
    <row r="21" spans="16:16">
      <c r="P21">
        <f t="shared" ref="P21:P84" si="14">0.000139*O21*B21</f>
        <v>0</v>
      </c>
    </row>
    <row r="22" spans="16:16">
      <c r="P22">
        <f t="shared" si="14"/>
        <v>0</v>
      </c>
    </row>
    <row r="23" spans="16:16">
      <c r="P23">
        <f t="shared" si="14"/>
        <v>0</v>
      </c>
    </row>
    <row r="24" spans="16:16">
      <c r="P24">
        <f t="shared" si="14"/>
        <v>0</v>
      </c>
    </row>
    <row r="25" spans="16:16">
      <c r="P25">
        <f t="shared" si="14"/>
        <v>0</v>
      </c>
    </row>
    <row r="26" spans="16:16">
      <c r="P26">
        <f t="shared" si="14"/>
        <v>0</v>
      </c>
    </row>
    <row r="27" spans="16:16">
      <c r="P27">
        <f t="shared" si="14"/>
        <v>0</v>
      </c>
    </row>
    <row r="28" spans="16:16">
      <c r="P28">
        <f t="shared" si="14"/>
        <v>0</v>
      </c>
    </row>
    <row r="29" spans="16:16">
      <c r="P29">
        <f t="shared" si="14"/>
        <v>0</v>
      </c>
    </row>
    <row r="30" spans="16:16">
      <c r="P30">
        <f t="shared" si="14"/>
        <v>0</v>
      </c>
    </row>
    <row r="31" spans="16:16">
      <c r="P31">
        <f t="shared" si="14"/>
        <v>0</v>
      </c>
    </row>
    <row r="32" spans="16:16">
      <c r="P32">
        <f t="shared" si="14"/>
        <v>0</v>
      </c>
    </row>
    <row r="33" spans="16:16">
      <c r="P33">
        <f t="shared" si="14"/>
        <v>0</v>
      </c>
    </row>
    <row r="34" spans="16:16">
      <c r="P34">
        <f t="shared" si="14"/>
        <v>0</v>
      </c>
    </row>
    <row r="35" spans="16:16">
      <c r="P35">
        <f t="shared" si="14"/>
        <v>0</v>
      </c>
    </row>
    <row r="36" spans="16:16">
      <c r="P36">
        <f t="shared" si="14"/>
        <v>0</v>
      </c>
    </row>
    <row r="37" spans="16:16">
      <c r="P37">
        <f t="shared" si="14"/>
        <v>0</v>
      </c>
    </row>
    <row r="38" spans="16:16">
      <c r="P38">
        <f t="shared" si="14"/>
        <v>0</v>
      </c>
    </row>
    <row r="39" spans="16:16">
      <c r="P39">
        <f t="shared" si="14"/>
        <v>0</v>
      </c>
    </row>
    <row r="40" spans="16:16">
      <c r="P40">
        <f t="shared" si="14"/>
        <v>0</v>
      </c>
    </row>
    <row r="41" spans="16:16">
      <c r="P41">
        <f t="shared" si="14"/>
        <v>0</v>
      </c>
    </row>
    <row r="42" spans="16:16">
      <c r="P42">
        <f t="shared" si="14"/>
        <v>0</v>
      </c>
    </row>
    <row r="43" spans="16:16">
      <c r="P43">
        <f t="shared" si="14"/>
        <v>0</v>
      </c>
    </row>
    <row r="44" spans="16:16">
      <c r="P44">
        <f t="shared" si="14"/>
        <v>0</v>
      </c>
    </row>
    <row r="45" spans="16:16">
      <c r="P45">
        <f t="shared" si="14"/>
        <v>0</v>
      </c>
    </row>
    <row r="46" spans="16:16">
      <c r="P46">
        <f t="shared" si="14"/>
        <v>0</v>
      </c>
    </row>
    <row r="47" spans="16:16">
      <c r="P47">
        <f t="shared" si="14"/>
        <v>0</v>
      </c>
    </row>
    <row r="48" spans="16:16">
      <c r="P48">
        <f t="shared" si="14"/>
        <v>0</v>
      </c>
    </row>
    <row r="49" spans="16:16">
      <c r="P49">
        <f t="shared" si="14"/>
        <v>0</v>
      </c>
    </row>
    <row r="50" spans="16:16">
      <c r="P50">
        <f t="shared" si="14"/>
        <v>0</v>
      </c>
    </row>
    <row r="51" spans="16:16">
      <c r="P51">
        <f t="shared" si="14"/>
        <v>0</v>
      </c>
    </row>
    <row r="52" spans="16:16">
      <c r="P52">
        <f t="shared" si="14"/>
        <v>0</v>
      </c>
    </row>
    <row r="53" spans="16:16">
      <c r="P53">
        <f t="shared" si="14"/>
        <v>0</v>
      </c>
    </row>
    <row r="54" spans="16:16">
      <c r="P54">
        <f t="shared" si="14"/>
        <v>0</v>
      </c>
    </row>
    <row r="55" spans="16:16">
      <c r="P55">
        <f t="shared" si="14"/>
        <v>0</v>
      </c>
    </row>
    <row r="56" spans="16:16">
      <c r="P56">
        <f t="shared" si="14"/>
        <v>0</v>
      </c>
    </row>
    <row r="57" spans="16:16">
      <c r="P57">
        <f t="shared" si="14"/>
        <v>0</v>
      </c>
    </row>
    <row r="58" spans="16:16">
      <c r="P58">
        <f t="shared" si="14"/>
        <v>0</v>
      </c>
    </row>
    <row r="59" spans="16:16">
      <c r="P59">
        <f t="shared" si="14"/>
        <v>0</v>
      </c>
    </row>
    <row r="60" spans="16:16">
      <c r="P60">
        <f t="shared" si="14"/>
        <v>0</v>
      </c>
    </row>
    <row r="61" spans="16:16">
      <c r="P61">
        <f t="shared" si="14"/>
        <v>0</v>
      </c>
    </row>
    <row r="62" spans="16:16">
      <c r="P62">
        <f t="shared" si="14"/>
        <v>0</v>
      </c>
    </row>
    <row r="63" spans="16:16">
      <c r="P63">
        <f t="shared" si="14"/>
        <v>0</v>
      </c>
    </row>
    <row r="64" spans="16:16">
      <c r="P64">
        <f t="shared" si="14"/>
        <v>0</v>
      </c>
    </row>
    <row r="65" spans="16:16">
      <c r="P65">
        <f t="shared" si="14"/>
        <v>0</v>
      </c>
    </row>
    <row r="66" spans="16:16">
      <c r="P66">
        <f t="shared" si="14"/>
        <v>0</v>
      </c>
    </row>
    <row r="67" spans="16:16">
      <c r="P67">
        <f t="shared" si="14"/>
        <v>0</v>
      </c>
    </row>
    <row r="68" spans="16:16">
      <c r="P68">
        <f t="shared" si="14"/>
        <v>0</v>
      </c>
    </row>
    <row r="69" spans="16:16">
      <c r="P69">
        <f t="shared" si="14"/>
        <v>0</v>
      </c>
    </row>
    <row r="70" spans="16:16">
      <c r="P70">
        <f t="shared" si="14"/>
        <v>0</v>
      </c>
    </row>
    <row r="71" spans="16:16">
      <c r="P71">
        <f t="shared" si="14"/>
        <v>0</v>
      </c>
    </row>
    <row r="72" spans="16:16">
      <c r="P72">
        <f t="shared" si="14"/>
        <v>0</v>
      </c>
    </row>
    <row r="73" spans="16:16">
      <c r="P73">
        <f t="shared" si="14"/>
        <v>0</v>
      </c>
    </row>
    <row r="74" spans="16:16">
      <c r="P74">
        <f t="shared" si="14"/>
        <v>0</v>
      </c>
    </row>
    <row r="75" spans="16:16">
      <c r="P75">
        <f t="shared" si="14"/>
        <v>0</v>
      </c>
    </row>
    <row r="76" spans="16:16">
      <c r="P76">
        <f t="shared" si="14"/>
        <v>0</v>
      </c>
    </row>
    <row r="77" spans="16:16">
      <c r="P77">
        <f t="shared" si="14"/>
        <v>0</v>
      </c>
    </row>
    <row r="78" spans="16:16">
      <c r="P78">
        <f t="shared" si="14"/>
        <v>0</v>
      </c>
    </row>
    <row r="79" spans="16:16">
      <c r="P79">
        <f t="shared" si="14"/>
        <v>0</v>
      </c>
    </row>
    <row r="80" spans="16:16">
      <c r="P80">
        <f t="shared" si="14"/>
        <v>0</v>
      </c>
    </row>
    <row r="81" spans="16:16">
      <c r="P81">
        <f t="shared" si="14"/>
        <v>0</v>
      </c>
    </row>
    <row r="82" spans="16:16">
      <c r="P82">
        <f t="shared" si="14"/>
        <v>0</v>
      </c>
    </row>
    <row r="83" spans="16:16">
      <c r="P83">
        <f t="shared" si="14"/>
        <v>0</v>
      </c>
    </row>
    <row r="84" spans="16:16">
      <c r="P84">
        <f t="shared" si="14"/>
        <v>0</v>
      </c>
    </row>
    <row r="85" spans="16:16">
      <c r="P85">
        <f t="shared" ref="P85:P148" si="15">0.000139*O85*B85</f>
        <v>0</v>
      </c>
    </row>
    <row r="86" spans="16:16">
      <c r="P86">
        <f t="shared" si="15"/>
        <v>0</v>
      </c>
    </row>
    <row r="87" spans="16:16">
      <c r="P87">
        <f t="shared" si="15"/>
        <v>0</v>
      </c>
    </row>
    <row r="88" spans="16:16">
      <c r="P88">
        <f t="shared" si="15"/>
        <v>0</v>
      </c>
    </row>
    <row r="89" spans="16:16">
      <c r="P89">
        <f t="shared" si="15"/>
        <v>0</v>
      </c>
    </row>
    <row r="90" spans="16:16">
      <c r="P90">
        <f t="shared" si="15"/>
        <v>0</v>
      </c>
    </row>
    <row r="91" spans="16:16">
      <c r="P91">
        <f t="shared" si="15"/>
        <v>0</v>
      </c>
    </row>
    <row r="92" spans="16:16">
      <c r="P92">
        <f t="shared" si="15"/>
        <v>0</v>
      </c>
    </row>
    <row r="93" spans="16:16">
      <c r="P93">
        <f t="shared" si="15"/>
        <v>0</v>
      </c>
    </row>
    <row r="94" spans="16:16">
      <c r="P94">
        <f t="shared" si="15"/>
        <v>0</v>
      </c>
    </row>
    <row r="95" spans="16:16">
      <c r="P95">
        <f t="shared" si="15"/>
        <v>0</v>
      </c>
    </row>
    <row r="96" spans="16:16">
      <c r="P96">
        <f t="shared" si="15"/>
        <v>0</v>
      </c>
    </row>
    <row r="97" spans="16:16">
      <c r="P97">
        <f t="shared" si="15"/>
        <v>0</v>
      </c>
    </row>
    <row r="98" spans="16:16">
      <c r="P98">
        <f t="shared" si="15"/>
        <v>0</v>
      </c>
    </row>
    <row r="99" spans="16:16">
      <c r="P99">
        <f t="shared" si="15"/>
        <v>0</v>
      </c>
    </row>
    <row r="100" spans="16:16">
      <c r="P100">
        <f t="shared" si="15"/>
        <v>0</v>
      </c>
    </row>
    <row r="101" spans="16:16">
      <c r="P101">
        <f t="shared" si="15"/>
        <v>0</v>
      </c>
    </row>
    <row r="102" spans="16:16">
      <c r="P102">
        <f t="shared" si="15"/>
        <v>0</v>
      </c>
    </row>
    <row r="103" spans="16:16">
      <c r="P103">
        <f t="shared" si="15"/>
        <v>0</v>
      </c>
    </row>
    <row r="104" spans="16:16">
      <c r="P104">
        <f t="shared" si="15"/>
        <v>0</v>
      </c>
    </row>
    <row r="105" spans="16:16">
      <c r="P105">
        <f t="shared" si="15"/>
        <v>0</v>
      </c>
    </row>
    <row r="106" spans="16:16">
      <c r="P106">
        <f t="shared" si="15"/>
        <v>0</v>
      </c>
    </row>
    <row r="107" spans="16:16">
      <c r="P107">
        <f t="shared" si="15"/>
        <v>0</v>
      </c>
    </row>
    <row r="108" spans="16:16">
      <c r="P108">
        <f t="shared" si="15"/>
        <v>0</v>
      </c>
    </row>
    <row r="109" spans="16:16">
      <c r="P109">
        <f t="shared" si="15"/>
        <v>0</v>
      </c>
    </row>
    <row r="110" spans="16:16">
      <c r="P110">
        <f t="shared" si="15"/>
        <v>0</v>
      </c>
    </row>
    <row r="111" spans="16:16">
      <c r="P111">
        <f t="shared" si="15"/>
        <v>0</v>
      </c>
    </row>
    <row r="112" spans="16:16">
      <c r="P112">
        <f t="shared" si="15"/>
        <v>0</v>
      </c>
    </row>
    <row r="113" spans="16:16">
      <c r="P113">
        <f t="shared" si="15"/>
        <v>0</v>
      </c>
    </row>
    <row r="114" spans="16:16">
      <c r="P114">
        <f t="shared" si="15"/>
        <v>0</v>
      </c>
    </row>
    <row r="115" spans="16:16">
      <c r="P115">
        <f t="shared" si="15"/>
        <v>0</v>
      </c>
    </row>
    <row r="116" spans="16:16">
      <c r="P116">
        <f t="shared" si="15"/>
        <v>0</v>
      </c>
    </row>
    <row r="117" spans="16:16">
      <c r="P117">
        <f t="shared" si="15"/>
        <v>0</v>
      </c>
    </row>
    <row r="118" spans="16:16">
      <c r="P118">
        <f t="shared" si="15"/>
        <v>0</v>
      </c>
    </row>
    <row r="119" spans="16:16">
      <c r="P119">
        <f t="shared" si="15"/>
        <v>0</v>
      </c>
    </row>
    <row r="120" spans="16:16">
      <c r="P120">
        <f t="shared" si="15"/>
        <v>0</v>
      </c>
    </row>
    <row r="121" spans="16:16">
      <c r="P121">
        <f t="shared" si="15"/>
        <v>0</v>
      </c>
    </row>
    <row r="122" spans="16:16">
      <c r="P122">
        <f t="shared" si="15"/>
        <v>0</v>
      </c>
    </row>
    <row r="123" spans="16:16">
      <c r="P123">
        <f t="shared" si="15"/>
        <v>0</v>
      </c>
    </row>
    <row r="124" spans="16:16">
      <c r="P124">
        <f t="shared" si="15"/>
        <v>0</v>
      </c>
    </row>
    <row r="125" spans="16:16">
      <c r="P125">
        <f t="shared" si="15"/>
        <v>0</v>
      </c>
    </row>
    <row r="126" spans="16:16">
      <c r="P126">
        <f t="shared" si="15"/>
        <v>0</v>
      </c>
    </row>
    <row r="127" spans="16:16">
      <c r="P127">
        <f t="shared" si="15"/>
        <v>0</v>
      </c>
    </row>
    <row r="128" spans="16:16">
      <c r="P128">
        <f t="shared" si="15"/>
        <v>0</v>
      </c>
    </row>
    <row r="129" spans="16:16">
      <c r="P129">
        <f t="shared" si="15"/>
        <v>0</v>
      </c>
    </row>
    <row r="130" spans="16:16">
      <c r="P130">
        <f t="shared" si="15"/>
        <v>0</v>
      </c>
    </row>
    <row r="131" spans="16:16">
      <c r="P131">
        <f t="shared" si="15"/>
        <v>0</v>
      </c>
    </row>
    <row r="132" spans="16:16">
      <c r="P132">
        <f t="shared" si="15"/>
        <v>0</v>
      </c>
    </row>
    <row r="133" spans="16:16">
      <c r="P133">
        <f t="shared" si="15"/>
        <v>0</v>
      </c>
    </row>
    <row r="134" spans="16:16">
      <c r="P134">
        <f t="shared" si="15"/>
        <v>0</v>
      </c>
    </row>
    <row r="135" spans="16:16">
      <c r="P135">
        <f t="shared" si="15"/>
        <v>0</v>
      </c>
    </row>
    <row r="136" spans="16:16">
      <c r="P136">
        <f t="shared" si="15"/>
        <v>0</v>
      </c>
    </row>
    <row r="137" spans="16:16">
      <c r="P137">
        <f t="shared" si="15"/>
        <v>0</v>
      </c>
    </row>
    <row r="138" spans="16:16">
      <c r="P138">
        <f t="shared" si="15"/>
        <v>0</v>
      </c>
    </row>
    <row r="139" spans="16:16">
      <c r="P139">
        <f t="shared" si="15"/>
        <v>0</v>
      </c>
    </row>
    <row r="140" spans="16:16">
      <c r="P140">
        <f t="shared" si="15"/>
        <v>0</v>
      </c>
    </row>
    <row r="141" spans="16:16">
      <c r="P141">
        <f t="shared" si="15"/>
        <v>0</v>
      </c>
    </row>
    <row r="142" spans="16:16">
      <c r="P142">
        <f t="shared" si="15"/>
        <v>0</v>
      </c>
    </row>
    <row r="143" spans="16:16">
      <c r="P143">
        <f t="shared" si="15"/>
        <v>0</v>
      </c>
    </row>
    <row r="144" spans="16:16">
      <c r="P144">
        <f t="shared" si="15"/>
        <v>0</v>
      </c>
    </row>
    <row r="145" spans="16:16">
      <c r="P145">
        <f t="shared" si="15"/>
        <v>0</v>
      </c>
    </row>
    <row r="146" spans="16:16">
      <c r="P146">
        <f t="shared" si="15"/>
        <v>0</v>
      </c>
    </row>
    <row r="147" spans="16:16">
      <c r="P147">
        <f t="shared" si="15"/>
        <v>0</v>
      </c>
    </row>
    <row r="148" spans="16:16">
      <c r="P148">
        <f t="shared" si="15"/>
        <v>0</v>
      </c>
    </row>
    <row r="149" spans="16:16">
      <c r="P149">
        <f t="shared" ref="P149:P163" si="16">0.000139*O149*B149</f>
        <v>0</v>
      </c>
    </row>
    <row r="150" spans="16:16">
      <c r="P150">
        <f t="shared" si="16"/>
        <v>0</v>
      </c>
    </row>
    <row r="151" spans="16:16">
      <c r="P151">
        <f t="shared" si="16"/>
        <v>0</v>
      </c>
    </row>
    <row r="152" spans="16:16">
      <c r="P152">
        <f t="shared" si="16"/>
        <v>0</v>
      </c>
    </row>
    <row r="153" spans="16:16">
      <c r="P153">
        <f t="shared" si="16"/>
        <v>0</v>
      </c>
    </row>
    <row r="154" spans="16:16">
      <c r="P154">
        <f t="shared" si="16"/>
        <v>0</v>
      </c>
    </row>
    <row r="155" spans="16:16">
      <c r="P155">
        <f t="shared" si="16"/>
        <v>0</v>
      </c>
    </row>
    <row r="156" spans="16:16">
      <c r="P156">
        <f t="shared" si="16"/>
        <v>0</v>
      </c>
    </row>
    <row r="157" spans="16:16">
      <c r="P157">
        <f t="shared" si="16"/>
        <v>0</v>
      </c>
    </row>
    <row r="158" spans="16:16">
      <c r="P158">
        <f t="shared" si="16"/>
        <v>0</v>
      </c>
    </row>
    <row r="159" spans="16:16">
      <c r="P159">
        <f t="shared" si="16"/>
        <v>0</v>
      </c>
    </row>
    <row r="160" spans="16:16">
      <c r="P160">
        <f t="shared" si="16"/>
        <v>0</v>
      </c>
    </row>
    <row r="161" spans="16:16">
      <c r="P161">
        <f t="shared" si="16"/>
        <v>0</v>
      </c>
    </row>
    <row r="162" spans="16:16">
      <c r="P162">
        <f t="shared" si="16"/>
        <v>0</v>
      </c>
    </row>
    <row r="163" spans="16:16">
      <c r="P163">
        <f t="shared" si="16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4:O2005"/>
  <sheetViews>
    <sheetView workbookViewId="0">
      <selection activeCell="H6" sqref="H6"/>
    </sheetView>
  </sheetViews>
  <sheetFormatPr defaultRowHeight="15"/>
  <cols>
    <col min="1" max="1" width="20.85546875" bestFit="1" customWidth="1"/>
    <col min="2" max="2" width="14.42578125" bestFit="1" customWidth="1"/>
    <col min="3" max="3" width="14.85546875" bestFit="1" customWidth="1"/>
    <col min="4" max="4" width="7.140625" bestFit="1" customWidth="1"/>
    <col min="5" max="5" width="18.28515625" bestFit="1" customWidth="1"/>
    <col min="6" max="6" width="22.42578125" bestFit="1" customWidth="1"/>
    <col min="7" max="7" width="26.42578125" bestFit="1" customWidth="1"/>
    <col min="8" max="8" width="30.5703125" bestFit="1" customWidth="1"/>
    <col min="9" max="9" width="23" bestFit="1" customWidth="1"/>
    <col min="10" max="10" width="27.140625" bestFit="1" customWidth="1"/>
    <col min="11" max="11" width="10.7109375" bestFit="1" customWidth="1"/>
    <col min="12" max="12" width="13.140625" bestFit="1" customWidth="1"/>
  </cols>
  <sheetData>
    <row r="4" spans="1:15" s="10" customFormat="1">
      <c r="E4" s="10" t="s">
        <v>15</v>
      </c>
      <c r="F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3"/>
    </row>
    <row r="5" spans="1:15" s="8" customFormat="1">
      <c r="A5" t="s">
        <v>9</v>
      </c>
      <c r="B5" s="7" t="s">
        <v>0</v>
      </c>
      <c r="C5" s="8" t="s">
        <v>1</v>
      </c>
      <c r="D5" t="s">
        <v>8</v>
      </c>
      <c r="E5" s="1" t="s">
        <v>12</v>
      </c>
      <c r="F5" s="1" t="s">
        <v>10</v>
      </c>
      <c r="G5" s="5" t="s">
        <v>14</v>
      </c>
      <c r="H5" s="1" t="s">
        <v>11</v>
      </c>
      <c r="I5" s="1" t="s">
        <v>2</v>
      </c>
      <c r="J5" s="1" t="s">
        <v>13</v>
      </c>
      <c r="K5" s="1" t="s">
        <v>4</v>
      </c>
      <c r="L5" s="1" t="s">
        <v>7</v>
      </c>
      <c r="M5" s="1" t="s">
        <v>3</v>
      </c>
      <c r="N5" s="14" t="s">
        <v>5</v>
      </c>
      <c r="O5" s="1" t="s">
        <v>6</v>
      </c>
    </row>
    <row r="6" spans="1:15">
      <c r="A6">
        <f>B6/1000000</f>
        <v>1.1439800000000001E-6</v>
      </c>
      <c r="B6" s="9">
        <v>1.14398</v>
      </c>
      <c r="C6">
        <f>wavelength_to_freq(B6)</f>
        <v>262060917148901.22</v>
      </c>
      <c r="D6">
        <f>C6/1000000000000</f>
        <v>262.06091714890124</v>
      </c>
      <c r="E6">
        <f>-Ilambda_to_Inu(H6,C6)</f>
        <v>-1.5497142472004028E+24</v>
      </c>
      <c r="H6" s="9">
        <v>6765</v>
      </c>
    </row>
    <row r="7" spans="1:15">
      <c r="A7">
        <f t="shared" ref="A7:A70" si="0">B7/1000000</f>
        <v>1.14430788394197E-6</v>
      </c>
      <c r="B7" s="9">
        <v>1.14430788394197</v>
      </c>
      <c r="C7">
        <f t="shared" ref="C7:C70" si="1">wavelength_to_freq(B7)</f>
        <v>261985827596730.09</v>
      </c>
      <c r="D7">
        <f t="shared" ref="D7:D70" si="2">C7/1000000000000</f>
        <v>261.98582759673008</v>
      </c>
      <c r="H7" s="9">
        <v>6939</v>
      </c>
    </row>
    <row r="8" spans="1:15">
      <c r="A8">
        <f t="shared" si="0"/>
        <v>1.1446357678839401E-6</v>
      </c>
      <c r="B8" s="9">
        <v>1.1446357678839401</v>
      </c>
      <c r="C8">
        <f t="shared" si="1"/>
        <v>261910781063760.5</v>
      </c>
      <c r="D8">
        <f t="shared" si="2"/>
        <v>261.91078106376051</v>
      </c>
      <c r="H8" s="9">
        <v>6939</v>
      </c>
    </row>
    <row r="9" spans="1:15">
      <c r="A9">
        <f t="shared" si="0"/>
        <v>1.1449636518259101E-6</v>
      </c>
      <c r="B9" s="9">
        <v>1.1449636518259101</v>
      </c>
      <c r="C9">
        <f t="shared" si="1"/>
        <v>261835777513034.06</v>
      </c>
      <c r="D9">
        <f t="shared" si="2"/>
        <v>261.83577751303409</v>
      </c>
      <c r="H9" s="9">
        <v>6958</v>
      </c>
    </row>
    <row r="10" spans="1:15">
      <c r="A10">
        <f t="shared" si="0"/>
        <v>1.1452915357678798E-6</v>
      </c>
      <c r="B10" s="9">
        <v>1.1452915357678799</v>
      </c>
      <c r="C10">
        <f t="shared" si="1"/>
        <v>261760816907634.91</v>
      </c>
      <c r="D10">
        <f t="shared" si="2"/>
        <v>261.76081690763493</v>
      </c>
      <c r="H10" s="9">
        <v>6958</v>
      </c>
    </row>
    <row r="11" spans="1:15">
      <c r="A11">
        <f t="shared" si="0"/>
        <v>1.1456194197098499E-6</v>
      </c>
      <c r="B11" s="9">
        <v>1.1456194197098499</v>
      </c>
      <c r="C11">
        <f t="shared" si="1"/>
        <v>261685899210689.16</v>
      </c>
      <c r="D11">
        <f t="shared" si="2"/>
        <v>261.68589921068917</v>
      </c>
      <c r="H11" s="9">
        <v>6958</v>
      </c>
    </row>
    <row r="12" spans="1:15">
      <c r="A12">
        <f t="shared" si="0"/>
        <v>1.14594730365183E-6</v>
      </c>
      <c r="B12" s="9">
        <v>1.14594730365183</v>
      </c>
      <c r="C12">
        <f t="shared" si="1"/>
        <v>261611024385363.12</v>
      </c>
      <c r="D12">
        <f t="shared" si="2"/>
        <v>261.61102438536312</v>
      </c>
      <c r="H12" s="9">
        <v>6958</v>
      </c>
    </row>
    <row r="13" spans="1:15">
      <c r="A13">
        <f t="shared" si="0"/>
        <v>1.1462751875938E-6</v>
      </c>
      <c r="B13" s="9">
        <v>1.1462751875938</v>
      </c>
      <c r="C13">
        <f t="shared" si="1"/>
        <v>261536192394871.94</v>
      </c>
      <c r="D13">
        <f t="shared" si="2"/>
        <v>261.53619239487193</v>
      </c>
      <c r="H13" s="9">
        <v>6958</v>
      </c>
    </row>
    <row r="14" spans="1:15">
      <c r="A14">
        <f t="shared" si="0"/>
        <v>1.1466030715357699E-6</v>
      </c>
      <c r="B14" s="9">
        <v>1.14660307153577</v>
      </c>
      <c r="C14">
        <f t="shared" si="1"/>
        <v>261461403202466.06</v>
      </c>
      <c r="D14">
        <f t="shared" si="2"/>
        <v>261.46140320246604</v>
      </c>
      <c r="H14" s="9">
        <v>6958</v>
      </c>
    </row>
    <row r="15" spans="1:15">
      <c r="A15">
        <f t="shared" si="0"/>
        <v>1.1469309554777401E-6</v>
      </c>
      <c r="B15" s="9">
        <v>1.14693095547774</v>
      </c>
      <c r="C15">
        <f t="shared" si="1"/>
        <v>261386656771440.19</v>
      </c>
      <c r="D15">
        <f t="shared" si="2"/>
        <v>261.38665677144019</v>
      </c>
      <c r="H15" s="9">
        <v>6958</v>
      </c>
    </row>
    <row r="16" spans="1:15">
      <c r="A16">
        <f t="shared" si="0"/>
        <v>1.14725883941971E-6</v>
      </c>
      <c r="B16" s="9">
        <v>1.1472588394197101</v>
      </c>
      <c r="C16">
        <f t="shared" si="1"/>
        <v>261311953065131.06</v>
      </c>
      <c r="D16">
        <f t="shared" si="2"/>
        <v>261.31195306513104</v>
      </c>
      <c r="H16" s="9">
        <v>6958</v>
      </c>
    </row>
    <row r="17" spans="1:8">
      <c r="A17">
        <f t="shared" si="0"/>
        <v>1.1475867233616801E-6</v>
      </c>
      <c r="B17" s="9">
        <v>1.1475867233616801</v>
      </c>
      <c r="C17">
        <f t="shared" si="1"/>
        <v>261237292046917.19</v>
      </c>
      <c r="D17">
        <f t="shared" si="2"/>
        <v>261.23729204691716</v>
      </c>
      <c r="H17" s="9">
        <v>6958</v>
      </c>
    </row>
    <row r="18" spans="1:8">
      <c r="A18">
        <f t="shared" si="0"/>
        <v>1.1479146073036499E-6</v>
      </c>
      <c r="B18" s="9">
        <v>1.1479146073036499</v>
      </c>
      <c r="C18">
        <f t="shared" si="1"/>
        <v>261162673680219.12</v>
      </c>
      <c r="D18">
        <f t="shared" si="2"/>
        <v>261.16267368021914</v>
      </c>
      <c r="H18" s="9">
        <v>7041</v>
      </c>
    </row>
    <row r="19" spans="1:8">
      <c r="A19">
        <f t="shared" si="0"/>
        <v>1.14824249124562E-6</v>
      </c>
      <c r="B19" s="9">
        <v>1.1482424912456199</v>
      </c>
      <c r="C19">
        <f t="shared" si="1"/>
        <v>261088097928498.94</v>
      </c>
      <c r="D19">
        <f t="shared" si="2"/>
        <v>261.08809792849894</v>
      </c>
      <c r="H19" s="9">
        <v>7041</v>
      </c>
    </row>
    <row r="20" spans="1:8">
      <c r="A20">
        <f t="shared" si="0"/>
        <v>1.14857037518759E-6</v>
      </c>
      <c r="B20" s="9">
        <v>1.14857037518759</v>
      </c>
      <c r="C20">
        <f t="shared" si="1"/>
        <v>261013564755260.62</v>
      </c>
      <c r="D20">
        <f t="shared" si="2"/>
        <v>261.01356475526063</v>
      </c>
      <c r="H20" s="9">
        <v>7041</v>
      </c>
    </row>
    <row r="21" spans="1:8">
      <c r="A21">
        <f t="shared" si="0"/>
        <v>1.1488982591295601E-6</v>
      </c>
      <c r="B21" s="9">
        <v>1.14889825912956</v>
      </c>
      <c r="C21">
        <f t="shared" si="1"/>
        <v>260939074124049.78</v>
      </c>
      <c r="D21">
        <f t="shared" si="2"/>
        <v>260.9390741240498</v>
      </c>
      <c r="H21" s="9">
        <v>7041</v>
      </c>
    </row>
    <row r="22" spans="1:8">
      <c r="A22">
        <f t="shared" si="0"/>
        <v>1.14922614307154E-6</v>
      </c>
      <c r="B22" s="9">
        <v>1.14922614307154</v>
      </c>
      <c r="C22">
        <f t="shared" si="1"/>
        <v>260864625998451.31</v>
      </c>
      <c r="D22">
        <f t="shared" si="2"/>
        <v>260.86462599845129</v>
      </c>
      <c r="H22" s="9">
        <v>7041</v>
      </c>
    </row>
    <row r="23" spans="1:8">
      <c r="A23">
        <f t="shared" si="0"/>
        <v>1.1495540270135101E-6</v>
      </c>
      <c r="B23" s="9">
        <v>1.1495540270135101</v>
      </c>
      <c r="C23">
        <f t="shared" si="1"/>
        <v>260790220342098.56</v>
      </c>
      <c r="D23">
        <f t="shared" si="2"/>
        <v>260.79022034209856</v>
      </c>
      <c r="H23" s="9">
        <v>7041</v>
      </c>
    </row>
    <row r="24" spans="1:8">
      <c r="A24">
        <f t="shared" si="0"/>
        <v>1.1498819109554801E-6</v>
      </c>
      <c r="B24" s="9">
        <v>1.1498819109554801</v>
      </c>
      <c r="C24">
        <f t="shared" si="1"/>
        <v>260715857118659.41</v>
      </c>
      <c r="D24">
        <f t="shared" si="2"/>
        <v>260.71585711865941</v>
      </c>
      <c r="H24" s="9">
        <v>7041</v>
      </c>
    </row>
    <row r="25" spans="1:8">
      <c r="A25">
        <f t="shared" si="0"/>
        <v>1.1502097948974498E-6</v>
      </c>
      <c r="B25" s="9">
        <v>1.1502097948974499</v>
      </c>
      <c r="C25">
        <f t="shared" si="1"/>
        <v>260641536291845.62</v>
      </c>
      <c r="D25">
        <f t="shared" si="2"/>
        <v>260.64153629184563</v>
      </c>
      <c r="H25" s="9">
        <v>7041</v>
      </c>
    </row>
    <row r="26" spans="1:8">
      <c r="A26">
        <f t="shared" si="0"/>
        <v>1.1505376788394199E-6</v>
      </c>
      <c r="B26" s="9">
        <v>1.1505376788394199</v>
      </c>
      <c r="C26">
        <f t="shared" si="1"/>
        <v>260567257825410.09</v>
      </c>
      <c r="D26">
        <f t="shared" si="2"/>
        <v>260.56725782541008</v>
      </c>
      <c r="H26" s="9">
        <v>7193</v>
      </c>
    </row>
    <row r="27" spans="1:8">
      <c r="A27">
        <f t="shared" si="0"/>
        <v>1.1508655627813899E-6</v>
      </c>
      <c r="B27" s="9">
        <v>1.15086556278139</v>
      </c>
      <c r="C27">
        <f t="shared" si="1"/>
        <v>260493021683147.19</v>
      </c>
      <c r="D27">
        <f t="shared" si="2"/>
        <v>260.49302168314716</v>
      </c>
      <c r="H27" s="9">
        <v>7193</v>
      </c>
    </row>
    <row r="28" spans="1:8">
      <c r="A28">
        <f t="shared" si="0"/>
        <v>1.15119344672336E-6</v>
      </c>
      <c r="B28" s="9">
        <v>1.15119344672336</v>
      </c>
      <c r="C28">
        <f t="shared" si="1"/>
        <v>260418827828892.5</v>
      </c>
      <c r="D28">
        <f t="shared" si="2"/>
        <v>260.41882782889252</v>
      </c>
      <c r="H28" s="9">
        <v>7193</v>
      </c>
    </row>
    <row r="29" spans="1:8">
      <c r="A29">
        <f t="shared" si="0"/>
        <v>1.15152133066533E-6</v>
      </c>
      <c r="B29" s="9">
        <v>1.15152133066533</v>
      </c>
      <c r="C29">
        <f t="shared" si="1"/>
        <v>260344676226522.75</v>
      </c>
      <c r="D29">
        <f t="shared" si="2"/>
        <v>260.34467622652272</v>
      </c>
      <c r="H29" s="9">
        <v>7193</v>
      </c>
    </row>
    <row r="30" spans="1:8">
      <c r="A30">
        <f t="shared" si="0"/>
        <v>1.1518492146073001E-6</v>
      </c>
      <c r="B30" s="9">
        <v>1.1518492146073001</v>
      </c>
      <c r="C30">
        <f t="shared" si="1"/>
        <v>260270566839955.91</v>
      </c>
      <c r="D30">
        <f t="shared" si="2"/>
        <v>260.2705668399559</v>
      </c>
      <c r="H30" s="9">
        <v>7193</v>
      </c>
    </row>
    <row r="31" spans="1:8">
      <c r="A31">
        <f t="shared" si="0"/>
        <v>1.15217709854927E-6</v>
      </c>
      <c r="B31" s="9">
        <v>1.1521770985492701</v>
      </c>
      <c r="C31">
        <f t="shared" si="1"/>
        <v>260196499633150.87</v>
      </c>
      <c r="D31">
        <f t="shared" si="2"/>
        <v>260.19649963315089</v>
      </c>
      <c r="H31" s="9">
        <v>7193</v>
      </c>
    </row>
    <row r="32" spans="1:8">
      <c r="A32">
        <f t="shared" si="0"/>
        <v>1.1525049824912501E-6</v>
      </c>
      <c r="B32" s="9">
        <v>1.1525049824912501</v>
      </c>
      <c r="C32">
        <f t="shared" si="1"/>
        <v>260122474570105.41</v>
      </c>
      <c r="D32">
        <f t="shared" si="2"/>
        <v>260.1224745701054</v>
      </c>
      <c r="H32" s="9">
        <v>7193</v>
      </c>
    </row>
    <row r="33" spans="1:8">
      <c r="A33">
        <f t="shared" si="0"/>
        <v>1.1528328664332199E-6</v>
      </c>
      <c r="B33" s="9">
        <v>1.1528328664332199</v>
      </c>
      <c r="C33">
        <f t="shared" si="1"/>
        <v>260048491614865.03</v>
      </c>
      <c r="D33">
        <f t="shared" si="2"/>
        <v>260.04849161486504</v>
      </c>
      <c r="H33" s="9">
        <v>7193</v>
      </c>
    </row>
    <row r="34" spans="1:8">
      <c r="A34">
        <f t="shared" si="0"/>
        <v>1.15316075037519E-6</v>
      </c>
      <c r="B34" s="9">
        <v>1.1531607503751899</v>
      </c>
      <c r="C34">
        <f t="shared" si="1"/>
        <v>259974550731509.16</v>
      </c>
      <c r="D34">
        <f t="shared" si="2"/>
        <v>259.97455073150917</v>
      </c>
      <c r="H34" s="9">
        <v>7193</v>
      </c>
    </row>
    <row r="35" spans="1:8">
      <c r="A35">
        <f t="shared" si="0"/>
        <v>1.15348863431716E-6</v>
      </c>
      <c r="B35" s="9">
        <v>1.15348863431716</v>
      </c>
      <c r="C35">
        <f t="shared" si="1"/>
        <v>259900651884160.59</v>
      </c>
      <c r="D35">
        <f t="shared" si="2"/>
        <v>259.9006518841606</v>
      </c>
      <c r="H35" s="9">
        <v>7193</v>
      </c>
    </row>
    <row r="36" spans="1:8">
      <c r="A36">
        <f t="shared" si="0"/>
        <v>1.1538165182591301E-6</v>
      </c>
      <c r="B36" s="9">
        <v>1.15381651825913</v>
      </c>
      <c r="C36">
        <f t="shared" si="1"/>
        <v>259826795036982.72</v>
      </c>
      <c r="D36">
        <f t="shared" si="2"/>
        <v>259.82679503698273</v>
      </c>
      <c r="H36" s="9">
        <v>7193</v>
      </c>
    </row>
    <row r="37" spans="1:8">
      <c r="A37">
        <f t="shared" si="0"/>
        <v>1.1541444022011E-6</v>
      </c>
      <c r="B37" s="9">
        <v>1.1541444022011</v>
      </c>
      <c r="C37">
        <f t="shared" si="1"/>
        <v>259752980154179.75</v>
      </c>
      <c r="D37">
        <f t="shared" si="2"/>
        <v>259.75298015417974</v>
      </c>
      <c r="H37" s="9">
        <v>7193</v>
      </c>
    </row>
    <row r="38" spans="1:8">
      <c r="A38">
        <f t="shared" si="0"/>
        <v>1.15447228614307E-6</v>
      </c>
      <c r="B38" s="9">
        <v>1.1544722861430701</v>
      </c>
      <c r="C38">
        <f t="shared" si="1"/>
        <v>259679207199996.56</v>
      </c>
      <c r="D38">
        <f t="shared" si="2"/>
        <v>259.67920719999654</v>
      </c>
      <c r="H38" s="9">
        <v>7193</v>
      </c>
    </row>
    <row r="39" spans="1:8">
      <c r="A39">
        <f t="shared" si="0"/>
        <v>1.1548001700850401E-6</v>
      </c>
      <c r="B39" s="9">
        <v>1.1548001700850401</v>
      </c>
      <c r="C39">
        <f t="shared" si="1"/>
        <v>259605476138718.56</v>
      </c>
      <c r="D39">
        <f t="shared" si="2"/>
        <v>259.60547613871859</v>
      </c>
      <c r="H39" s="9">
        <v>7193</v>
      </c>
    </row>
    <row r="40" spans="1:8">
      <c r="A40">
        <f t="shared" si="0"/>
        <v>1.1551280540270098E-6</v>
      </c>
      <c r="B40" s="9">
        <v>1.1551280540270099</v>
      </c>
      <c r="C40">
        <f t="shared" si="1"/>
        <v>259531786934671.81</v>
      </c>
      <c r="D40">
        <f t="shared" si="2"/>
        <v>259.5317869346718</v>
      </c>
      <c r="H40" s="9">
        <v>7193</v>
      </c>
    </row>
    <row r="41" spans="1:8">
      <c r="A41">
        <f t="shared" si="0"/>
        <v>1.15545593796898E-6</v>
      </c>
      <c r="B41" s="9">
        <v>1.1554559379689799</v>
      </c>
      <c r="C41">
        <f t="shared" si="1"/>
        <v>259458139552222.72</v>
      </c>
      <c r="D41">
        <f t="shared" si="2"/>
        <v>259.45813955222275</v>
      </c>
      <c r="H41" s="9">
        <v>7285</v>
      </c>
    </row>
    <row r="42" spans="1:8">
      <c r="A42">
        <f t="shared" si="0"/>
        <v>1.1557838219109599E-6</v>
      </c>
      <c r="B42" s="9">
        <v>1.15578382191096</v>
      </c>
      <c r="C42">
        <f t="shared" si="1"/>
        <v>259384533955776.03</v>
      </c>
      <c r="D42">
        <f t="shared" si="2"/>
        <v>259.38453395577602</v>
      </c>
      <c r="H42" s="9">
        <v>7285</v>
      </c>
    </row>
    <row r="43" spans="1:8">
      <c r="A43">
        <f t="shared" si="0"/>
        <v>1.15611170585293E-6</v>
      </c>
      <c r="B43" s="9">
        <v>1.15611170585293</v>
      </c>
      <c r="C43">
        <f t="shared" si="1"/>
        <v>259310970109783.56</v>
      </c>
      <c r="D43">
        <f t="shared" si="2"/>
        <v>259.31097010978357</v>
      </c>
      <c r="H43" s="9">
        <v>7285</v>
      </c>
    </row>
    <row r="44" spans="1:8">
      <c r="A44">
        <f t="shared" si="0"/>
        <v>1.1564395897949E-6</v>
      </c>
      <c r="B44" s="9">
        <v>1.1564395897949</v>
      </c>
      <c r="C44">
        <f t="shared" si="1"/>
        <v>259237447978730.66</v>
      </c>
      <c r="D44">
        <f t="shared" si="2"/>
        <v>259.23744797873064</v>
      </c>
      <c r="H44" s="9">
        <v>7285</v>
      </c>
    </row>
    <row r="45" spans="1:8">
      <c r="A45">
        <f t="shared" si="0"/>
        <v>1.1567674737368701E-6</v>
      </c>
      <c r="B45" s="9">
        <v>1.1567674737368701</v>
      </c>
      <c r="C45">
        <f t="shared" si="1"/>
        <v>259163967527145.22</v>
      </c>
      <c r="D45">
        <f t="shared" si="2"/>
        <v>259.16396752714525</v>
      </c>
      <c r="H45" s="9">
        <v>7285</v>
      </c>
    </row>
    <row r="46" spans="1:8">
      <c r="A46">
        <f t="shared" si="0"/>
        <v>1.15709535767884E-6</v>
      </c>
      <c r="B46" s="9">
        <v>1.1570953576788401</v>
      </c>
      <c r="C46">
        <f t="shared" si="1"/>
        <v>259090528719595.37</v>
      </c>
      <c r="D46">
        <f t="shared" si="2"/>
        <v>259.0905287195954</v>
      </c>
      <c r="H46" s="9">
        <v>7285</v>
      </c>
    </row>
    <row r="47" spans="1:8">
      <c r="A47">
        <f t="shared" si="0"/>
        <v>1.15742324162081E-6</v>
      </c>
      <c r="B47" s="9">
        <v>1.1574232416208099</v>
      </c>
      <c r="C47">
        <f t="shared" si="1"/>
        <v>259017131520689.41</v>
      </c>
      <c r="D47">
        <f t="shared" si="2"/>
        <v>259.01713152068942</v>
      </c>
      <c r="H47" s="9">
        <v>7285</v>
      </c>
    </row>
    <row r="48" spans="1:8">
      <c r="A48">
        <f t="shared" si="0"/>
        <v>1.1577511255627799E-6</v>
      </c>
      <c r="B48" s="9">
        <v>1.1577511255627799</v>
      </c>
      <c r="C48">
        <f t="shared" si="1"/>
        <v>258943775895075.59</v>
      </c>
      <c r="D48">
        <f t="shared" si="2"/>
        <v>258.94377589507559</v>
      </c>
      <c r="H48" s="9">
        <v>7285</v>
      </c>
    </row>
    <row r="49" spans="1:8">
      <c r="A49">
        <f t="shared" si="0"/>
        <v>1.1580790095047499E-6</v>
      </c>
      <c r="B49" s="9">
        <v>1.15807900950475</v>
      </c>
      <c r="C49">
        <f t="shared" si="1"/>
        <v>258870461807442.31</v>
      </c>
      <c r="D49">
        <f t="shared" si="2"/>
        <v>258.87046180744233</v>
      </c>
      <c r="H49" s="9">
        <v>7285</v>
      </c>
    </row>
    <row r="50" spans="1:8">
      <c r="A50">
        <f t="shared" si="0"/>
        <v>1.15840689344672E-6</v>
      </c>
      <c r="B50" s="9">
        <v>1.15840689344672</v>
      </c>
      <c r="C50">
        <f t="shared" si="1"/>
        <v>258797189222517.97</v>
      </c>
      <c r="D50">
        <f t="shared" si="2"/>
        <v>258.79718922251794</v>
      </c>
      <c r="H50" s="9">
        <v>7285</v>
      </c>
    </row>
    <row r="51" spans="1:8">
      <c r="A51">
        <f t="shared" si="0"/>
        <v>1.1587347773886899E-6</v>
      </c>
      <c r="B51" s="9">
        <v>1.15873477738869</v>
      </c>
      <c r="C51">
        <f t="shared" si="1"/>
        <v>258723958105070.81</v>
      </c>
      <c r="D51">
        <f t="shared" si="2"/>
        <v>258.72395810507084</v>
      </c>
      <c r="H51" s="9">
        <v>7285</v>
      </c>
    </row>
    <row r="52" spans="1:8">
      <c r="A52">
        <f t="shared" si="0"/>
        <v>1.15906266133067E-6</v>
      </c>
      <c r="B52" s="9">
        <v>1.15906266133067</v>
      </c>
      <c r="C52">
        <f t="shared" si="1"/>
        <v>258650768419906.81</v>
      </c>
      <c r="D52">
        <f t="shared" si="2"/>
        <v>258.6507684199068</v>
      </c>
      <c r="H52" s="9">
        <v>7285</v>
      </c>
    </row>
    <row r="53" spans="1:8">
      <c r="A53">
        <f t="shared" si="0"/>
        <v>1.15939054527264E-6</v>
      </c>
      <c r="B53" s="9">
        <v>1.1593905452726401</v>
      </c>
      <c r="C53">
        <f t="shared" si="1"/>
        <v>258577620131878.31</v>
      </c>
      <c r="D53">
        <f t="shared" si="2"/>
        <v>258.57762013187829</v>
      </c>
      <c r="H53" s="9">
        <v>7285</v>
      </c>
    </row>
    <row r="54" spans="1:8">
      <c r="A54">
        <f t="shared" si="0"/>
        <v>1.1597184292146101E-6</v>
      </c>
      <c r="B54" s="9">
        <v>1.1597184292146101</v>
      </c>
      <c r="C54">
        <f t="shared" si="1"/>
        <v>258504513205870.87</v>
      </c>
      <c r="D54">
        <f t="shared" si="2"/>
        <v>258.50451320587086</v>
      </c>
      <c r="H54" s="9">
        <v>7285</v>
      </c>
    </row>
    <row r="55" spans="1:8">
      <c r="A55">
        <f t="shared" si="0"/>
        <v>1.1600463131565798E-6</v>
      </c>
      <c r="B55" s="9">
        <v>1.1600463131565799</v>
      </c>
      <c r="C55">
        <f t="shared" si="1"/>
        <v>258431447606811.91</v>
      </c>
      <c r="D55">
        <f t="shared" si="2"/>
        <v>258.4314476068119</v>
      </c>
      <c r="H55" s="9">
        <v>7285</v>
      </c>
    </row>
    <row r="56" spans="1:8">
      <c r="A56">
        <f t="shared" si="0"/>
        <v>1.16037419709855E-6</v>
      </c>
      <c r="B56" s="9">
        <v>1.1603741970985499</v>
      </c>
      <c r="C56">
        <f t="shared" si="1"/>
        <v>258358423299668.37</v>
      </c>
      <c r="D56">
        <f t="shared" si="2"/>
        <v>258.3584232996684</v>
      </c>
      <c r="H56" s="9">
        <v>7285</v>
      </c>
    </row>
    <row r="57" spans="1:8">
      <c r="A57">
        <f t="shared" si="0"/>
        <v>1.1607020810405199E-6</v>
      </c>
      <c r="B57" s="9">
        <v>1.16070208104052</v>
      </c>
      <c r="C57">
        <f t="shared" si="1"/>
        <v>258285440249447</v>
      </c>
      <c r="D57">
        <f t="shared" si="2"/>
        <v>258.28544024944699</v>
      </c>
      <c r="H57" s="9">
        <v>7285</v>
      </c>
    </row>
    <row r="58" spans="1:8">
      <c r="A58">
        <f t="shared" si="0"/>
        <v>1.1610299649824901E-6</v>
      </c>
      <c r="B58" s="9">
        <v>1.16102996498249</v>
      </c>
      <c r="C58">
        <f t="shared" si="1"/>
        <v>258212498421193.91</v>
      </c>
      <c r="D58">
        <f t="shared" si="2"/>
        <v>258.21249842119391</v>
      </c>
      <c r="H58" s="9">
        <v>7285</v>
      </c>
    </row>
    <row r="59" spans="1:8">
      <c r="A59">
        <f t="shared" si="0"/>
        <v>1.16135784892446E-6</v>
      </c>
      <c r="B59" s="9">
        <v>1.16135784892446</v>
      </c>
      <c r="C59">
        <f t="shared" si="1"/>
        <v>258139597779994.72</v>
      </c>
      <c r="D59">
        <f t="shared" si="2"/>
        <v>258.13959777999474</v>
      </c>
      <c r="H59" s="9">
        <v>7305</v>
      </c>
    </row>
    <row r="60" spans="1:8">
      <c r="A60">
        <f t="shared" si="0"/>
        <v>1.1616857328664302E-6</v>
      </c>
      <c r="B60" s="9">
        <v>1.1616857328664301</v>
      </c>
      <c r="C60">
        <f t="shared" si="1"/>
        <v>258066738290974.56</v>
      </c>
      <c r="D60">
        <f t="shared" si="2"/>
        <v>258.06673829097457</v>
      </c>
      <c r="H60" s="9">
        <v>7305</v>
      </c>
    </row>
    <row r="61" spans="1:8">
      <c r="A61">
        <f t="shared" si="0"/>
        <v>1.1620136168084001E-6</v>
      </c>
      <c r="B61" s="9">
        <v>1.1620136168084001</v>
      </c>
      <c r="C61">
        <f t="shared" si="1"/>
        <v>257993919919297.81</v>
      </c>
      <c r="D61">
        <f t="shared" si="2"/>
        <v>257.99391991929781</v>
      </c>
      <c r="H61" s="9">
        <v>7305</v>
      </c>
    </row>
    <row r="62" spans="1:8">
      <c r="A62">
        <f t="shared" si="0"/>
        <v>1.16234150075038E-6</v>
      </c>
      <c r="B62" s="9">
        <v>1.1623415007503799</v>
      </c>
      <c r="C62">
        <f t="shared" si="1"/>
        <v>257921142630166.06</v>
      </c>
      <c r="D62">
        <f t="shared" si="2"/>
        <v>257.92114263016606</v>
      </c>
      <c r="H62" s="9">
        <v>7305</v>
      </c>
    </row>
    <row r="63" spans="1:8">
      <c r="A63">
        <f t="shared" si="0"/>
        <v>1.1626693846923499E-6</v>
      </c>
      <c r="B63" s="9">
        <v>1.1626693846923499</v>
      </c>
      <c r="C63">
        <f t="shared" si="1"/>
        <v>257848406388826.59</v>
      </c>
      <c r="D63">
        <f t="shared" si="2"/>
        <v>257.84840638882662</v>
      </c>
      <c r="H63" s="9">
        <v>7305</v>
      </c>
    </row>
    <row r="64" spans="1:8">
      <c r="A64">
        <f t="shared" si="0"/>
        <v>1.1629972686343199E-6</v>
      </c>
      <c r="B64" s="9">
        <v>1.16299726863432</v>
      </c>
      <c r="C64">
        <f t="shared" si="1"/>
        <v>257775711160559.44</v>
      </c>
      <c r="D64">
        <f t="shared" si="2"/>
        <v>257.77571116055941</v>
      </c>
      <c r="H64" s="9">
        <v>7305</v>
      </c>
    </row>
    <row r="65" spans="1:8">
      <c r="A65">
        <f t="shared" si="0"/>
        <v>1.16332515257629E-6</v>
      </c>
      <c r="B65" s="9">
        <v>1.16332515257629</v>
      </c>
      <c r="C65">
        <f t="shared" si="1"/>
        <v>257703056910685.87</v>
      </c>
      <c r="D65">
        <f t="shared" si="2"/>
        <v>257.70305691068586</v>
      </c>
      <c r="H65" s="9">
        <v>7305</v>
      </c>
    </row>
    <row r="66" spans="1:8">
      <c r="A66">
        <f t="shared" si="0"/>
        <v>1.1636530365182599E-6</v>
      </c>
      <c r="B66" s="9">
        <v>1.16365303651826</v>
      </c>
      <c r="C66">
        <f t="shared" si="1"/>
        <v>257630443604566.37</v>
      </c>
      <c r="D66">
        <f t="shared" si="2"/>
        <v>257.63044360456638</v>
      </c>
      <c r="H66" s="9">
        <v>7305</v>
      </c>
    </row>
    <row r="67" spans="1:8">
      <c r="A67">
        <f t="shared" si="0"/>
        <v>1.1639809204602301E-6</v>
      </c>
      <c r="B67" s="9">
        <v>1.1639809204602301</v>
      </c>
      <c r="C67">
        <f t="shared" si="1"/>
        <v>257557871207600.31</v>
      </c>
      <c r="D67">
        <f t="shared" si="2"/>
        <v>257.55787120760033</v>
      </c>
      <c r="H67" s="9">
        <v>7305</v>
      </c>
    </row>
    <row r="68" spans="1:8">
      <c r="A68">
        <f t="shared" si="0"/>
        <v>1.1643088044022E-6</v>
      </c>
      <c r="B68" s="9">
        <v>1.1643088044022001</v>
      </c>
      <c r="C68">
        <f t="shared" si="1"/>
        <v>257485339685226.12</v>
      </c>
      <c r="D68">
        <f t="shared" si="2"/>
        <v>257.48533968522611</v>
      </c>
      <c r="H68" s="9">
        <v>7305</v>
      </c>
    </row>
    <row r="69" spans="1:8">
      <c r="A69">
        <f t="shared" si="0"/>
        <v>1.16463668834417E-6</v>
      </c>
      <c r="B69" s="9">
        <v>1.1646366883441699</v>
      </c>
      <c r="C69">
        <f t="shared" si="1"/>
        <v>257412849002921.19</v>
      </c>
      <c r="D69">
        <f t="shared" si="2"/>
        <v>257.41284900292118</v>
      </c>
      <c r="H69" s="9">
        <v>7305</v>
      </c>
    </row>
    <row r="70" spans="1:8">
      <c r="A70">
        <f t="shared" si="0"/>
        <v>1.1649645722861399E-6</v>
      </c>
      <c r="B70" s="9">
        <v>1.1649645722861399</v>
      </c>
      <c r="C70">
        <f t="shared" si="1"/>
        <v>257340399126201.62</v>
      </c>
      <c r="D70">
        <f t="shared" si="2"/>
        <v>257.34039912620165</v>
      </c>
      <c r="H70" s="9">
        <v>7305</v>
      </c>
    </row>
    <row r="71" spans="1:8">
      <c r="A71">
        <f t="shared" ref="A71:A134" si="3">B71/1000000</f>
        <v>1.16529245622811E-6</v>
      </c>
      <c r="B71" s="9">
        <v>1.16529245622811</v>
      </c>
      <c r="C71">
        <f t="shared" ref="C71:C134" si="4">wavelength_to_freq(B71)</f>
        <v>257267990020622.44</v>
      </c>
      <c r="D71">
        <f t="shared" ref="D71:D134" si="5">C71/1000000000000</f>
        <v>257.26799002062245</v>
      </c>
      <c r="H71" s="9">
        <v>7305</v>
      </c>
    </row>
    <row r="72" spans="1:8">
      <c r="A72">
        <f t="shared" si="3"/>
        <v>1.1656203401700899E-6</v>
      </c>
      <c r="B72" s="9">
        <v>1.16562034017009</v>
      </c>
      <c r="C72">
        <f t="shared" si="4"/>
        <v>257195621651775.22</v>
      </c>
      <c r="D72">
        <f t="shared" si="5"/>
        <v>257.19562165177524</v>
      </c>
      <c r="H72" s="9">
        <v>7305</v>
      </c>
    </row>
    <row r="73" spans="1:8">
      <c r="A73">
        <f t="shared" si="3"/>
        <v>1.1659482241120601E-6</v>
      </c>
      <c r="B73" s="9">
        <v>1.16594822411206</v>
      </c>
      <c r="C73">
        <f t="shared" si="4"/>
        <v>257123293985296.87</v>
      </c>
      <c r="D73">
        <f t="shared" si="5"/>
        <v>257.12329398529687</v>
      </c>
      <c r="H73" s="9">
        <v>7305</v>
      </c>
    </row>
    <row r="74" spans="1:8">
      <c r="A74">
        <f t="shared" si="3"/>
        <v>1.16627610805403E-6</v>
      </c>
      <c r="B74" s="9">
        <v>1.16627610805403</v>
      </c>
      <c r="C74">
        <f t="shared" si="4"/>
        <v>257051006986856.25</v>
      </c>
      <c r="D74">
        <f t="shared" si="5"/>
        <v>257.05100698685624</v>
      </c>
      <c r="H74" s="9">
        <v>7305</v>
      </c>
    </row>
    <row r="75" spans="1:8">
      <c r="A75">
        <f t="shared" si="3"/>
        <v>1.1666039919960002E-6</v>
      </c>
      <c r="B75" s="9">
        <v>1.1666039919960001</v>
      </c>
      <c r="C75">
        <f t="shared" si="4"/>
        <v>256978760622163.12</v>
      </c>
      <c r="D75">
        <f t="shared" si="5"/>
        <v>256.97876062216312</v>
      </c>
      <c r="H75" s="9">
        <v>7305</v>
      </c>
    </row>
    <row r="76" spans="1:8">
      <c r="A76">
        <f t="shared" si="3"/>
        <v>1.1669318759379701E-6</v>
      </c>
      <c r="B76" s="9">
        <v>1.1669318759379701</v>
      </c>
      <c r="C76">
        <f t="shared" si="4"/>
        <v>256906554856965.69</v>
      </c>
      <c r="D76">
        <f t="shared" si="5"/>
        <v>256.90655485696567</v>
      </c>
      <c r="H76" s="9">
        <v>7305</v>
      </c>
    </row>
    <row r="77" spans="1:8">
      <c r="A77">
        <f t="shared" si="3"/>
        <v>1.1672597598799398E-6</v>
      </c>
      <c r="B77" s="9">
        <v>1.1672597598799399</v>
      </c>
      <c r="C77">
        <f t="shared" si="4"/>
        <v>256834389657050.78</v>
      </c>
      <c r="D77">
        <f t="shared" si="5"/>
        <v>256.83438965705079</v>
      </c>
      <c r="H77" s="9">
        <v>7305</v>
      </c>
    </row>
    <row r="78" spans="1:8">
      <c r="A78">
        <f t="shared" si="3"/>
        <v>1.16758764382191E-6</v>
      </c>
      <c r="B78" s="9">
        <v>1.1675876438219099</v>
      </c>
      <c r="C78">
        <f t="shared" si="4"/>
        <v>256762264988243.41</v>
      </c>
      <c r="D78">
        <f t="shared" si="5"/>
        <v>256.76226498824343</v>
      </c>
      <c r="H78" s="9">
        <v>7305</v>
      </c>
    </row>
    <row r="79" spans="1:8">
      <c r="A79">
        <f t="shared" si="3"/>
        <v>1.1679155277638799E-6</v>
      </c>
      <c r="B79" s="9">
        <v>1.16791552776388</v>
      </c>
      <c r="C79">
        <f t="shared" si="4"/>
        <v>256690180816407.22</v>
      </c>
      <c r="D79">
        <f t="shared" si="5"/>
        <v>256.69018081640723</v>
      </c>
      <c r="H79" s="9">
        <v>7305</v>
      </c>
    </row>
    <row r="80" spans="1:8">
      <c r="A80">
        <f t="shared" si="3"/>
        <v>1.16824341170585E-6</v>
      </c>
      <c r="B80" s="9">
        <v>1.16824341170585</v>
      </c>
      <c r="C80">
        <f t="shared" si="4"/>
        <v>256618137107444.03</v>
      </c>
      <c r="D80">
        <f t="shared" si="5"/>
        <v>256.61813710744406</v>
      </c>
      <c r="H80" s="9">
        <v>7305</v>
      </c>
    </row>
    <row r="81" spans="1:8">
      <c r="A81">
        <f t="shared" si="3"/>
        <v>1.16857129564782E-6</v>
      </c>
      <c r="B81" s="9">
        <v>1.16857129564782</v>
      </c>
      <c r="C81">
        <f t="shared" si="4"/>
        <v>256546133827294.03</v>
      </c>
      <c r="D81">
        <f t="shared" si="5"/>
        <v>256.54613382729406</v>
      </c>
      <c r="H81" s="9">
        <v>7305</v>
      </c>
    </row>
    <row r="82" spans="1:8">
      <c r="A82">
        <f t="shared" si="3"/>
        <v>1.1688991795897901E-6</v>
      </c>
      <c r="B82" s="9">
        <v>1.1688991795897901</v>
      </c>
      <c r="C82">
        <f t="shared" si="4"/>
        <v>256474170941935.53</v>
      </c>
      <c r="D82">
        <f t="shared" si="5"/>
        <v>256.47417094193554</v>
      </c>
      <c r="H82" s="9">
        <v>7305</v>
      </c>
    </row>
    <row r="83" spans="1:8">
      <c r="A83">
        <f t="shared" si="3"/>
        <v>1.16922706353177E-6</v>
      </c>
      <c r="B83" s="9">
        <v>1.1692270635317701</v>
      </c>
      <c r="C83">
        <f t="shared" si="4"/>
        <v>256402248417382.84</v>
      </c>
      <c r="D83">
        <f t="shared" si="5"/>
        <v>256.40224841738285</v>
      </c>
      <c r="H83" s="9">
        <v>7305</v>
      </c>
    </row>
    <row r="84" spans="1:8">
      <c r="A84">
        <f t="shared" si="3"/>
        <v>1.16955494747374E-6</v>
      </c>
      <c r="B84" s="9">
        <v>1.1695549474737399</v>
      </c>
      <c r="C84">
        <f t="shared" si="4"/>
        <v>256330366219695.09</v>
      </c>
      <c r="D84">
        <f t="shared" si="5"/>
        <v>256.33036621969507</v>
      </c>
      <c r="H84" s="9">
        <v>7736</v>
      </c>
    </row>
    <row r="85" spans="1:8">
      <c r="A85">
        <f t="shared" si="3"/>
        <v>1.1698828314157099E-6</v>
      </c>
      <c r="B85" s="9">
        <v>1.1698828314157099</v>
      </c>
      <c r="C85">
        <f t="shared" si="4"/>
        <v>256258524314962.59</v>
      </c>
      <c r="D85">
        <f t="shared" si="5"/>
        <v>256.25852431496259</v>
      </c>
      <c r="H85" s="9">
        <v>7736</v>
      </c>
    </row>
    <row r="86" spans="1:8">
      <c r="A86">
        <f t="shared" si="3"/>
        <v>1.17021071535768E-6</v>
      </c>
      <c r="B86" s="9">
        <v>1.17021071535768</v>
      </c>
      <c r="C86">
        <f t="shared" si="4"/>
        <v>256186722669316.12</v>
      </c>
      <c r="D86">
        <f t="shared" si="5"/>
        <v>256.18672266931611</v>
      </c>
      <c r="H86" s="9">
        <v>7736</v>
      </c>
    </row>
    <row r="87" spans="1:8">
      <c r="A87">
        <f t="shared" si="3"/>
        <v>1.17053859929965E-6</v>
      </c>
      <c r="B87" s="9">
        <v>1.17053859929965</v>
      </c>
      <c r="C87">
        <f t="shared" si="4"/>
        <v>256114961248924.31</v>
      </c>
      <c r="D87">
        <f t="shared" si="5"/>
        <v>256.11496124892432</v>
      </c>
      <c r="H87" s="9">
        <v>7736</v>
      </c>
    </row>
    <row r="88" spans="1:8">
      <c r="A88">
        <f t="shared" si="3"/>
        <v>1.1708664832416201E-6</v>
      </c>
      <c r="B88" s="9">
        <v>1.17086648324162</v>
      </c>
      <c r="C88">
        <f t="shared" si="4"/>
        <v>256043240019993.66</v>
      </c>
      <c r="D88">
        <f t="shared" si="5"/>
        <v>256.04324001999368</v>
      </c>
      <c r="H88" s="9">
        <v>7736</v>
      </c>
    </row>
    <row r="89" spans="1:8">
      <c r="A89">
        <f t="shared" si="3"/>
        <v>1.1711943671835901E-6</v>
      </c>
      <c r="B89" s="9">
        <v>1.17119436718359</v>
      </c>
      <c r="C89">
        <f t="shared" si="4"/>
        <v>255971558948768.56</v>
      </c>
      <c r="D89">
        <f t="shared" si="5"/>
        <v>255.97155894876857</v>
      </c>
      <c r="H89" s="9">
        <v>7880</v>
      </c>
    </row>
    <row r="90" spans="1:8">
      <c r="A90">
        <f t="shared" si="3"/>
        <v>1.17152225112556E-6</v>
      </c>
      <c r="B90" s="9">
        <v>1.1715222511255601</v>
      </c>
      <c r="C90">
        <f t="shared" si="4"/>
        <v>255899918001531.16</v>
      </c>
      <c r="D90">
        <f t="shared" si="5"/>
        <v>255.89991800153115</v>
      </c>
      <c r="H90" s="9">
        <v>7880</v>
      </c>
    </row>
    <row r="91" spans="1:8">
      <c r="A91">
        <f t="shared" si="3"/>
        <v>1.1718501350675301E-6</v>
      </c>
      <c r="B91" s="9">
        <v>1.1718501350675301</v>
      </c>
      <c r="C91">
        <f t="shared" si="4"/>
        <v>255828317144601.34</v>
      </c>
      <c r="D91">
        <f t="shared" si="5"/>
        <v>255.82831714460136</v>
      </c>
      <c r="H91" s="9">
        <v>7880</v>
      </c>
    </row>
    <row r="92" spans="1:8">
      <c r="A92">
        <f t="shared" si="3"/>
        <v>1.1721780190094999E-6</v>
      </c>
      <c r="B92" s="9">
        <v>1.1721780190094999</v>
      </c>
      <c r="C92">
        <f t="shared" si="4"/>
        <v>255756756344336.75</v>
      </c>
      <c r="D92">
        <f t="shared" si="5"/>
        <v>255.75675634433674</v>
      </c>
      <c r="H92" s="9">
        <v>7880</v>
      </c>
    </row>
    <row r="93" spans="1:8">
      <c r="A93">
        <f t="shared" si="3"/>
        <v>1.17250590295148E-6</v>
      </c>
      <c r="B93" s="9">
        <v>1.1725059029514799</v>
      </c>
      <c r="C93">
        <f t="shared" si="4"/>
        <v>255685235567130.34</v>
      </c>
      <c r="D93">
        <f t="shared" si="5"/>
        <v>255.68523556713035</v>
      </c>
      <c r="H93" s="9">
        <v>7880</v>
      </c>
    </row>
    <row r="94" spans="1:8">
      <c r="A94">
        <f t="shared" si="3"/>
        <v>1.1728337868934499E-6</v>
      </c>
      <c r="B94" s="9">
        <v>1.17283378689345</v>
      </c>
      <c r="C94">
        <f t="shared" si="4"/>
        <v>255613754779419.28</v>
      </c>
      <c r="D94">
        <f t="shared" si="5"/>
        <v>255.61375477941928</v>
      </c>
      <c r="H94" s="9">
        <v>7880</v>
      </c>
    </row>
    <row r="95" spans="1:8">
      <c r="A95">
        <f t="shared" si="3"/>
        <v>1.17316167083542E-6</v>
      </c>
      <c r="B95" s="9">
        <v>1.17316167083542</v>
      </c>
      <c r="C95">
        <f t="shared" si="4"/>
        <v>255542313947671.72</v>
      </c>
      <c r="D95">
        <f t="shared" si="5"/>
        <v>255.54231394767172</v>
      </c>
      <c r="H95" s="9">
        <v>7880</v>
      </c>
    </row>
    <row r="96" spans="1:8">
      <c r="A96">
        <f t="shared" si="3"/>
        <v>1.17348955477739E-6</v>
      </c>
      <c r="B96" s="9">
        <v>1.17348955477739</v>
      </c>
      <c r="C96">
        <f t="shared" si="4"/>
        <v>255470913038395.44</v>
      </c>
      <c r="D96">
        <f t="shared" si="5"/>
        <v>255.47091303839545</v>
      </c>
      <c r="H96" s="9">
        <v>7926</v>
      </c>
    </row>
    <row r="97" spans="1:8">
      <c r="A97">
        <f t="shared" si="3"/>
        <v>1.1738174387193601E-6</v>
      </c>
      <c r="B97" s="9">
        <v>1.1738174387193601</v>
      </c>
      <c r="C97">
        <f t="shared" si="4"/>
        <v>255399552018135.69</v>
      </c>
      <c r="D97">
        <f t="shared" si="5"/>
        <v>255.39955201813569</v>
      </c>
      <c r="H97" s="9">
        <v>7926</v>
      </c>
    </row>
    <row r="98" spans="1:8">
      <c r="A98">
        <f t="shared" si="3"/>
        <v>1.1741453226613301E-6</v>
      </c>
      <c r="B98" s="9">
        <v>1.1741453226613301</v>
      </c>
      <c r="C98">
        <f t="shared" si="4"/>
        <v>255328230853475.03</v>
      </c>
      <c r="D98">
        <f t="shared" si="5"/>
        <v>255.32823085347502</v>
      </c>
      <c r="H98" s="9">
        <v>7926</v>
      </c>
    </row>
    <row r="99" spans="1:8">
      <c r="A99">
        <f t="shared" si="3"/>
        <v>1.1744732066033E-6</v>
      </c>
      <c r="B99" s="9">
        <v>1.1744732066032999</v>
      </c>
      <c r="C99">
        <f t="shared" si="4"/>
        <v>255256949511033.37</v>
      </c>
      <c r="D99">
        <f t="shared" si="5"/>
        <v>255.25694951103338</v>
      </c>
      <c r="H99" s="9">
        <v>7926</v>
      </c>
    </row>
    <row r="100" spans="1:8">
      <c r="A100">
        <f t="shared" si="3"/>
        <v>1.1748010905452699E-6</v>
      </c>
      <c r="B100" s="9">
        <v>1.1748010905452699</v>
      </c>
      <c r="C100">
        <f t="shared" si="4"/>
        <v>255185707957467.84</v>
      </c>
      <c r="D100">
        <f t="shared" si="5"/>
        <v>255.18570795746786</v>
      </c>
      <c r="H100" s="9">
        <v>7926</v>
      </c>
    </row>
    <row r="101" spans="1:8">
      <c r="A101">
        <f t="shared" si="3"/>
        <v>1.1751289744872399E-6</v>
      </c>
      <c r="B101" s="9">
        <v>1.17512897448724</v>
      </c>
      <c r="C101">
        <f t="shared" si="4"/>
        <v>255114506159472.84</v>
      </c>
      <c r="D101">
        <f t="shared" si="5"/>
        <v>255.11450615947285</v>
      </c>
      <c r="H101" s="9">
        <v>7926</v>
      </c>
    </row>
    <row r="102" spans="1:8">
      <c r="A102">
        <f t="shared" si="3"/>
        <v>1.17545685842921E-6</v>
      </c>
      <c r="B102" s="9">
        <v>1.17545685842921</v>
      </c>
      <c r="C102">
        <f t="shared" si="4"/>
        <v>255043344083779.94</v>
      </c>
      <c r="D102">
        <f t="shared" si="5"/>
        <v>255.04334408377994</v>
      </c>
      <c r="H102" s="9">
        <v>7926</v>
      </c>
    </row>
    <row r="103" spans="1:8">
      <c r="A103">
        <f t="shared" si="3"/>
        <v>1.1757847423711901E-6</v>
      </c>
      <c r="B103" s="9">
        <v>1.17578474237119</v>
      </c>
      <c r="C103">
        <f t="shared" si="4"/>
        <v>254972221697155.56</v>
      </c>
      <c r="D103">
        <f t="shared" si="5"/>
        <v>254.97222169715556</v>
      </c>
      <c r="H103" s="9">
        <v>7926</v>
      </c>
    </row>
    <row r="104" spans="1:8">
      <c r="A104">
        <f t="shared" si="3"/>
        <v>1.1761126263131601E-6</v>
      </c>
      <c r="B104" s="9">
        <v>1.17611262631316</v>
      </c>
      <c r="C104">
        <f t="shared" si="4"/>
        <v>254901138966409.78</v>
      </c>
      <c r="D104">
        <f t="shared" si="5"/>
        <v>254.90113896640977</v>
      </c>
      <c r="H104" s="9">
        <v>7926</v>
      </c>
    </row>
    <row r="105" spans="1:8">
      <c r="A105">
        <f t="shared" si="3"/>
        <v>1.17644051025513E-6</v>
      </c>
      <c r="B105" s="9">
        <v>1.1764405102551301</v>
      </c>
      <c r="C105">
        <f t="shared" si="4"/>
        <v>254830095858383.16</v>
      </c>
      <c r="D105">
        <f t="shared" si="5"/>
        <v>254.83009585838315</v>
      </c>
      <c r="H105" s="9">
        <v>7926</v>
      </c>
    </row>
    <row r="106" spans="1:8">
      <c r="A106">
        <f t="shared" si="3"/>
        <v>1.1767683941971001E-6</v>
      </c>
      <c r="B106" s="9">
        <v>1.1767683941971001</v>
      </c>
      <c r="C106">
        <f t="shared" si="4"/>
        <v>254759092339955.34</v>
      </c>
      <c r="D106">
        <f t="shared" si="5"/>
        <v>254.75909233995534</v>
      </c>
      <c r="H106" s="9">
        <v>7926</v>
      </c>
    </row>
    <row r="107" spans="1:8">
      <c r="A107">
        <f t="shared" si="3"/>
        <v>1.1770962781390699E-6</v>
      </c>
      <c r="B107" s="9">
        <v>1.1770962781390699</v>
      </c>
      <c r="C107">
        <f t="shared" si="4"/>
        <v>254688128378042.97</v>
      </c>
      <c r="D107">
        <f t="shared" si="5"/>
        <v>254.68812837804296</v>
      </c>
      <c r="H107" s="9">
        <v>7926</v>
      </c>
    </row>
    <row r="108" spans="1:8">
      <c r="A108">
        <f t="shared" si="3"/>
        <v>1.17742416208104E-6</v>
      </c>
      <c r="B108" s="9">
        <v>1.1774241620810399</v>
      </c>
      <c r="C108">
        <f t="shared" si="4"/>
        <v>254617203939599.31</v>
      </c>
      <c r="D108">
        <f t="shared" si="5"/>
        <v>254.61720393959931</v>
      </c>
      <c r="H108" s="9">
        <v>7926</v>
      </c>
    </row>
    <row r="109" spans="1:8">
      <c r="A109">
        <f t="shared" si="3"/>
        <v>1.1777520460230099E-6</v>
      </c>
      <c r="B109" s="9">
        <v>1.17775204602301</v>
      </c>
      <c r="C109">
        <f t="shared" si="4"/>
        <v>254546318991614.72</v>
      </c>
      <c r="D109">
        <f t="shared" si="5"/>
        <v>254.54631899161473</v>
      </c>
      <c r="H109" s="9">
        <v>7926</v>
      </c>
    </row>
    <row r="110" spans="1:8">
      <c r="A110">
        <f t="shared" si="3"/>
        <v>1.1780799299649801E-6</v>
      </c>
      <c r="B110" s="9">
        <v>1.17807992996498</v>
      </c>
      <c r="C110">
        <f t="shared" si="4"/>
        <v>254475473501116.12</v>
      </c>
      <c r="D110">
        <f t="shared" si="5"/>
        <v>254.47547350111611</v>
      </c>
      <c r="H110" s="9">
        <v>7926</v>
      </c>
    </row>
    <row r="111" spans="1:8">
      <c r="A111">
        <f t="shared" si="3"/>
        <v>1.17840781390695E-6</v>
      </c>
      <c r="B111" s="9">
        <v>1.17840781390695</v>
      </c>
      <c r="C111">
        <f t="shared" si="4"/>
        <v>254404667435167.19</v>
      </c>
      <c r="D111">
        <f t="shared" si="5"/>
        <v>254.4046674351672</v>
      </c>
      <c r="H111" s="9">
        <v>7926</v>
      </c>
    </row>
    <row r="112" spans="1:8">
      <c r="A112">
        <f t="shared" si="3"/>
        <v>1.1787356978489202E-6</v>
      </c>
      <c r="B112" s="9">
        <v>1.1787356978489201</v>
      </c>
      <c r="C112">
        <f t="shared" si="4"/>
        <v>254333900760868.22</v>
      </c>
      <c r="D112">
        <f t="shared" si="5"/>
        <v>254.33390076086823</v>
      </c>
      <c r="H112" s="9">
        <v>7926</v>
      </c>
    </row>
    <row r="113" spans="1:8">
      <c r="A113">
        <f t="shared" si="3"/>
        <v>1.1790635817909001E-6</v>
      </c>
      <c r="B113" s="9">
        <v>1.1790635817909001</v>
      </c>
      <c r="C113">
        <f t="shared" si="4"/>
        <v>254263173445354.03</v>
      </c>
      <c r="D113">
        <f t="shared" si="5"/>
        <v>254.26317344535403</v>
      </c>
      <c r="H113" s="9">
        <v>7926</v>
      </c>
    </row>
    <row r="114" spans="1:8">
      <c r="A114">
        <f t="shared" si="3"/>
        <v>1.17939146573287E-6</v>
      </c>
      <c r="B114" s="9">
        <v>1.1793914657328699</v>
      </c>
      <c r="C114">
        <f t="shared" si="4"/>
        <v>254192485455802.41</v>
      </c>
      <c r="D114">
        <f t="shared" si="5"/>
        <v>254.1924854558024</v>
      </c>
      <c r="H114" s="9">
        <v>7926</v>
      </c>
    </row>
    <row r="115" spans="1:8">
      <c r="A115">
        <f t="shared" si="3"/>
        <v>1.1797193496748399E-6</v>
      </c>
      <c r="B115" s="9">
        <v>1.1797193496748399</v>
      </c>
      <c r="C115">
        <f t="shared" si="4"/>
        <v>254121836759421.03</v>
      </c>
      <c r="D115">
        <f t="shared" si="5"/>
        <v>254.12183675942103</v>
      </c>
      <c r="H115" s="9">
        <v>7926</v>
      </c>
    </row>
    <row r="116" spans="1:8">
      <c r="A116">
        <f t="shared" si="3"/>
        <v>1.1800472336168099E-6</v>
      </c>
      <c r="B116" s="9">
        <v>1.18004723361681</v>
      </c>
      <c r="C116">
        <f t="shared" si="4"/>
        <v>254051227323456.34</v>
      </c>
      <c r="D116">
        <f t="shared" si="5"/>
        <v>254.05122732345635</v>
      </c>
      <c r="H116" s="9">
        <v>7926</v>
      </c>
    </row>
    <row r="117" spans="1:8">
      <c r="A117">
        <f t="shared" si="3"/>
        <v>1.18037511755878E-6</v>
      </c>
      <c r="B117" s="9">
        <v>1.18037511755878</v>
      </c>
      <c r="C117">
        <f t="shared" si="4"/>
        <v>253980657115191.19</v>
      </c>
      <c r="D117">
        <f t="shared" si="5"/>
        <v>253.98065711519118</v>
      </c>
      <c r="H117" s="9">
        <v>7926</v>
      </c>
    </row>
    <row r="118" spans="1:8">
      <c r="A118">
        <f t="shared" si="3"/>
        <v>1.18070300150075E-6</v>
      </c>
      <c r="B118" s="9">
        <v>1.18070300150075</v>
      </c>
      <c r="C118">
        <f t="shared" si="4"/>
        <v>253910126101944.66</v>
      </c>
      <c r="D118">
        <f t="shared" si="5"/>
        <v>253.91012610194466</v>
      </c>
      <c r="H118" s="9">
        <v>7926</v>
      </c>
    </row>
    <row r="119" spans="1:8">
      <c r="A119">
        <f t="shared" si="3"/>
        <v>1.1810308854427201E-6</v>
      </c>
      <c r="B119" s="9">
        <v>1.1810308854427201</v>
      </c>
      <c r="C119">
        <f t="shared" si="4"/>
        <v>253839634251072.19</v>
      </c>
      <c r="D119">
        <f t="shared" si="5"/>
        <v>253.8396342510722</v>
      </c>
      <c r="H119" s="9">
        <v>7926</v>
      </c>
    </row>
    <row r="120" spans="1:8">
      <c r="A120">
        <f t="shared" si="3"/>
        <v>1.18135876938469E-6</v>
      </c>
      <c r="B120" s="9">
        <v>1.1813587693846901</v>
      </c>
      <c r="C120">
        <f t="shared" si="4"/>
        <v>253769181529965.44</v>
      </c>
      <c r="D120">
        <f t="shared" si="5"/>
        <v>253.76918152996544</v>
      </c>
      <c r="H120" s="9">
        <v>7926</v>
      </c>
    </row>
    <row r="121" spans="1:8">
      <c r="A121">
        <f t="shared" si="3"/>
        <v>1.18168665332666E-6</v>
      </c>
      <c r="B121" s="9">
        <v>1.1816866533266599</v>
      </c>
      <c r="C121">
        <f t="shared" si="4"/>
        <v>253698767906052.31</v>
      </c>
      <c r="D121">
        <f t="shared" si="5"/>
        <v>253.69876790605232</v>
      </c>
      <c r="H121" s="9">
        <v>7926</v>
      </c>
    </row>
    <row r="122" spans="1:8">
      <c r="A122">
        <f t="shared" si="3"/>
        <v>1.1820145372686299E-6</v>
      </c>
      <c r="B122" s="9">
        <v>1.1820145372686299</v>
      </c>
      <c r="C122">
        <f t="shared" si="4"/>
        <v>253628393346796.75</v>
      </c>
      <c r="D122">
        <f t="shared" si="5"/>
        <v>253.62839334679674</v>
      </c>
      <c r="H122" s="9">
        <v>7926</v>
      </c>
    </row>
    <row r="123" spans="1:8">
      <c r="A123">
        <f t="shared" si="3"/>
        <v>1.18234242121061E-6</v>
      </c>
      <c r="B123" s="9">
        <v>1.18234242121061</v>
      </c>
      <c r="C123">
        <f t="shared" si="4"/>
        <v>253558057819696.69</v>
      </c>
      <c r="D123">
        <f t="shared" si="5"/>
        <v>253.5580578196967</v>
      </c>
      <c r="H123" s="9">
        <v>7926</v>
      </c>
    </row>
    <row r="124" spans="1:8">
      <c r="A124">
        <f t="shared" si="3"/>
        <v>1.1826703051525799E-6</v>
      </c>
      <c r="B124" s="9">
        <v>1.18267030515258</v>
      </c>
      <c r="C124">
        <f t="shared" si="4"/>
        <v>253487761292292.56</v>
      </c>
      <c r="D124">
        <f t="shared" si="5"/>
        <v>253.48776129229256</v>
      </c>
      <c r="H124" s="9">
        <v>7926</v>
      </c>
    </row>
    <row r="125" spans="1:8">
      <c r="A125">
        <f t="shared" si="3"/>
        <v>1.1829981890945501E-6</v>
      </c>
      <c r="B125" s="9">
        <v>1.18299818909455</v>
      </c>
      <c r="C125">
        <f t="shared" si="4"/>
        <v>253417503732154.37</v>
      </c>
      <c r="D125">
        <f t="shared" si="5"/>
        <v>253.41750373215439</v>
      </c>
      <c r="H125" s="9">
        <v>7926</v>
      </c>
    </row>
    <row r="126" spans="1:8">
      <c r="A126">
        <f t="shared" si="3"/>
        <v>1.18332607303652E-6</v>
      </c>
      <c r="B126" s="9">
        <v>1.18332607303652</v>
      </c>
      <c r="C126">
        <f t="shared" si="4"/>
        <v>253347285106890.19</v>
      </c>
      <c r="D126">
        <f t="shared" si="5"/>
        <v>253.34728510689018</v>
      </c>
      <c r="H126" s="9">
        <v>7926</v>
      </c>
    </row>
    <row r="127" spans="1:8">
      <c r="A127">
        <f t="shared" si="3"/>
        <v>1.1836539569784902E-6</v>
      </c>
      <c r="B127" s="9">
        <v>1.1836539569784901</v>
      </c>
      <c r="C127">
        <f t="shared" si="4"/>
        <v>253277105384143.94</v>
      </c>
      <c r="D127">
        <f t="shared" si="5"/>
        <v>253.27710538414394</v>
      </c>
      <c r="H127" s="9">
        <v>7926</v>
      </c>
    </row>
    <row r="128" spans="1:8">
      <c r="A128">
        <f t="shared" si="3"/>
        <v>1.1839818409204601E-6</v>
      </c>
      <c r="B128" s="9">
        <v>1.1839818409204601</v>
      </c>
      <c r="C128">
        <f t="shared" si="4"/>
        <v>253206964531595.44</v>
      </c>
      <c r="D128">
        <f t="shared" si="5"/>
        <v>253.20696453159545</v>
      </c>
      <c r="H128" s="9">
        <v>7926</v>
      </c>
    </row>
    <row r="129" spans="1:8">
      <c r="A129">
        <f t="shared" si="3"/>
        <v>1.1843097248624298E-6</v>
      </c>
      <c r="B129" s="9">
        <v>1.1843097248624299</v>
      </c>
      <c r="C129">
        <f t="shared" si="4"/>
        <v>253136862516960.31</v>
      </c>
      <c r="D129">
        <f t="shared" si="5"/>
        <v>253.13686251696032</v>
      </c>
      <c r="H129" s="9">
        <v>7997</v>
      </c>
    </row>
    <row r="130" spans="1:8">
      <c r="A130">
        <f t="shared" si="3"/>
        <v>1.1846376088044E-6</v>
      </c>
      <c r="B130" s="9">
        <v>1.1846376088043999</v>
      </c>
      <c r="C130">
        <f t="shared" si="4"/>
        <v>253066799307989.78</v>
      </c>
      <c r="D130">
        <f t="shared" si="5"/>
        <v>253.06679930798978</v>
      </c>
      <c r="H130" s="9">
        <v>7997</v>
      </c>
    </row>
    <row r="131" spans="1:8">
      <c r="A131">
        <f t="shared" si="3"/>
        <v>1.1849654927463699E-6</v>
      </c>
      <c r="B131" s="9">
        <v>1.18496549274637</v>
      </c>
      <c r="C131">
        <f t="shared" si="4"/>
        <v>252996774872470.97</v>
      </c>
      <c r="D131">
        <f t="shared" si="5"/>
        <v>252.99677487247098</v>
      </c>
      <c r="H131" s="9">
        <v>7997</v>
      </c>
    </row>
    <row r="132" spans="1:8">
      <c r="A132">
        <f t="shared" si="3"/>
        <v>1.1852933766883401E-6</v>
      </c>
      <c r="B132" s="9">
        <v>1.18529337668834</v>
      </c>
      <c r="C132">
        <f t="shared" si="4"/>
        <v>252926789178226.53</v>
      </c>
      <c r="D132">
        <f t="shared" si="5"/>
        <v>252.92678917822653</v>
      </c>
      <c r="H132" s="9">
        <v>7997</v>
      </c>
    </row>
    <row r="133" spans="1:8">
      <c r="A133">
        <f t="shared" si="3"/>
        <v>1.18562126063032E-6</v>
      </c>
      <c r="B133" s="9">
        <v>1.18562126063032</v>
      </c>
      <c r="C133">
        <f t="shared" si="4"/>
        <v>252856842193112.56</v>
      </c>
      <c r="D133">
        <f t="shared" si="5"/>
        <v>252.85684219311256</v>
      </c>
      <c r="H133" s="9">
        <v>7997</v>
      </c>
    </row>
    <row r="134" spans="1:8">
      <c r="A134">
        <f t="shared" si="3"/>
        <v>1.1859491445722901E-6</v>
      </c>
      <c r="B134" s="9">
        <v>1.1859491445722901</v>
      </c>
      <c r="C134">
        <f t="shared" si="4"/>
        <v>252786933885027.16</v>
      </c>
      <c r="D134">
        <f t="shared" si="5"/>
        <v>252.78693388502717</v>
      </c>
      <c r="H134" s="9">
        <v>7997</v>
      </c>
    </row>
    <row r="135" spans="1:8">
      <c r="A135">
        <f t="shared" ref="A135:A198" si="6">B135/1000000</f>
        <v>1.18627702851426E-6</v>
      </c>
      <c r="B135" s="9">
        <v>1.1862770285142601</v>
      </c>
      <c r="C135">
        <f t="shared" ref="C135:C198" si="7">wavelength_to_freq(B135)</f>
        <v>252717064221897.5</v>
      </c>
      <c r="D135">
        <f t="shared" ref="D135:D198" si="8">C135/1000000000000</f>
        <v>252.71706422189749</v>
      </c>
      <c r="H135" s="9">
        <v>7997</v>
      </c>
    </row>
    <row r="136" spans="1:8">
      <c r="A136">
        <f t="shared" si="6"/>
        <v>1.18660491245623E-6</v>
      </c>
      <c r="B136" s="9">
        <v>1.1866049124562299</v>
      </c>
      <c r="C136">
        <f t="shared" si="7"/>
        <v>252647233171688.37</v>
      </c>
      <c r="D136">
        <f t="shared" si="8"/>
        <v>252.64723317168838</v>
      </c>
      <c r="H136" s="9">
        <v>7997</v>
      </c>
    </row>
    <row r="137" spans="1:8">
      <c r="A137">
        <f t="shared" si="6"/>
        <v>1.1869327963981999E-6</v>
      </c>
      <c r="B137" s="9">
        <v>1.1869327963981999</v>
      </c>
      <c r="C137">
        <f t="shared" si="7"/>
        <v>252577440702399.87</v>
      </c>
      <c r="D137">
        <f t="shared" si="8"/>
        <v>252.57744070239988</v>
      </c>
      <c r="H137" s="9">
        <v>7997</v>
      </c>
    </row>
    <row r="138" spans="1:8">
      <c r="A138">
        <f t="shared" si="6"/>
        <v>1.1872606803401701E-6</v>
      </c>
      <c r="B138" s="9">
        <v>1.18726068034017</v>
      </c>
      <c r="C138">
        <f t="shared" si="7"/>
        <v>252507686782067.5</v>
      </c>
      <c r="D138">
        <f t="shared" si="8"/>
        <v>252.50768678206751</v>
      </c>
      <c r="H138" s="9">
        <v>7997</v>
      </c>
    </row>
    <row r="139" spans="1:8">
      <c r="A139">
        <f t="shared" si="6"/>
        <v>1.18758856428214E-6</v>
      </c>
      <c r="B139" s="9">
        <v>1.18758856428214</v>
      </c>
      <c r="C139">
        <f t="shared" si="7"/>
        <v>252437971378762.06</v>
      </c>
      <c r="D139">
        <f t="shared" si="8"/>
        <v>252.43797137876206</v>
      </c>
      <c r="H139" s="9">
        <v>7997</v>
      </c>
    </row>
    <row r="140" spans="1:8">
      <c r="A140">
        <f t="shared" si="6"/>
        <v>1.1879164482241099E-6</v>
      </c>
      <c r="B140" s="9">
        <v>1.18791644822411</v>
      </c>
      <c r="C140">
        <f t="shared" si="7"/>
        <v>252368294460589.66</v>
      </c>
      <c r="D140">
        <f t="shared" si="8"/>
        <v>252.36829446058965</v>
      </c>
      <c r="H140" s="9">
        <v>7997</v>
      </c>
    </row>
    <row r="141" spans="1:8">
      <c r="A141">
        <f t="shared" si="6"/>
        <v>1.1882443321660801E-6</v>
      </c>
      <c r="B141" s="9">
        <v>1.1882443321660801</v>
      </c>
      <c r="C141">
        <f t="shared" si="7"/>
        <v>252298655995691.5</v>
      </c>
      <c r="D141">
        <f t="shared" si="8"/>
        <v>252.29865599569149</v>
      </c>
      <c r="H141" s="9">
        <v>7997</v>
      </c>
    </row>
    <row r="142" spans="1:8">
      <c r="A142">
        <f t="shared" si="6"/>
        <v>1.18857221610805E-6</v>
      </c>
      <c r="B142" s="9">
        <v>1.1885722161080501</v>
      </c>
      <c r="C142">
        <f t="shared" si="7"/>
        <v>252229055952244</v>
      </c>
      <c r="D142">
        <f t="shared" si="8"/>
        <v>252.22905595224401</v>
      </c>
      <c r="H142" s="9">
        <v>7997</v>
      </c>
    </row>
    <row r="143" spans="1:8">
      <c r="A143">
        <f t="shared" si="6"/>
        <v>1.1889001000500199E-6</v>
      </c>
      <c r="B143" s="9">
        <v>1.1889001000500199</v>
      </c>
      <c r="C143">
        <f t="shared" si="7"/>
        <v>252159494298458.72</v>
      </c>
      <c r="D143">
        <f t="shared" si="8"/>
        <v>252.15949429845872</v>
      </c>
      <c r="H143" s="9">
        <v>7997</v>
      </c>
    </row>
    <row r="144" spans="1:8">
      <c r="A144">
        <f t="shared" si="6"/>
        <v>1.1892279839919998E-6</v>
      </c>
      <c r="B144" s="9">
        <v>1.1892279839919999</v>
      </c>
      <c r="C144">
        <f t="shared" si="7"/>
        <v>252089971002580.06</v>
      </c>
      <c r="D144">
        <f t="shared" si="8"/>
        <v>252.08997100258006</v>
      </c>
      <c r="H144" s="9">
        <v>7997</v>
      </c>
    </row>
    <row r="145" spans="1:8">
      <c r="A145">
        <f t="shared" si="6"/>
        <v>1.18955586793397E-6</v>
      </c>
      <c r="B145" s="9">
        <v>1.1895558679339699</v>
      </c>
      <c r="C145">
        <f t="shared" si="7"/>
        <v>252020486032893.84</v>
      </c>
      <c r="D145">
        <f t="shared" si="8"/>
        <v>252.02048603289384</v>
      </c>
      <c r="H145" s="9">
        <v>7997</v>
      </c>
    </row>
    <row r="146" spans="1:8">
      <c r="A146">
        <f t="shared" si="6"/>
        <v>1.1898837518759399E-6</v>
      </c>
      <c r="B146" s="9">
        <v>1.18988375187594</v>
      </c>
      <c r="C146">
        <f t="shared" si="7"/>
        <v>251951039357714.53</v>
      </c>
      <c r="D146">
        <f t="shared" si="8"/>
        <v>251.95103935771454</v>
      </c>
      <c r="H146" s="9">
        <v>7997</v>
      </c>
    </row>
    <row r="147" spans="1:8">
      <c r="A147">
        <f t="shared" si="6"/>
        <v>1.1902116358179101E-6</v>
      </c>
      <c r="B147" s="9">
        <v>1.19021163581791</v>
      </c>
      <c r="C147">
        <f t="shared" si="7"/>
        <v>251881630945393.59</v>
      </c>
      <c r="D147">
        <f t="shared" si="8"/>
        <v>251.8816309453936</v>
      </c>
      <c r="H147" s="9">
        <v>7997</v>
      </c>
    </row>
    <row r="148" spans="1:8">
      <c r="A148">
        <f t="shared" si="6"/>
        <v>1.19053951975988E-6</v>
      </c>
      <c r="B148" s="9">
        <v>1.19053951975988</v>
      </c>
      <c r="C148">
        <f t="shared" si="7"/>
        <v>251812260764317.31</v>
      </c>
      <c r="D148">
        <f t="shared" si="8"/>
        <v>251.8122607643173</v>
      </c>
      <c r="H148" s="9">
        <v>8241</v>
      </c>
    </row>
    <row r="149" spans="1:8">
      <c r="A149">
        <f t="shared" si="6"/>
        <v>1.1908674037018501E-6</v>
      </c>
      <c r="B149" s="9">
        <v>1.1908674037018501</v>
      </c>
      <c r="C149">
        <f t="shared" si="7"/>
        <v>251742928782906.84</v>
      </c>
      <c r="D149">
        <f t="shared" si="8"/>
        <v>251.74292878290683</v>
      </c>
      <c r="H149" s="9">
        <v>8241</v>
      </c>
    </row>
    <row r="150" spans="1:8">
      <c r="A150">
        <f t="shared" si="6"/>
        <v>1.1911952876438201E-6</v>
      </c>
      <c r="B150" s="9">
        <v>1.1911952876438201</v>
      </c>
      <c r="C150">
        <f t="shared" si="7"/>
        <v>251673634969618.09</v>
      </c>
      <c r="D150">
        <f t="shared" si="8"/>
        <v>251.67363496961809</v>
      </c>
      <c r="H150" s="9">
        <v>8241</v>
      </c>
    </row>
    <row r="151" spans="1:8">
      <c r="A151">
        <f t="shared" si="6"/>
        <v>1.1915231715857898E-6</v>
      </c>
      <c r="B151" s="9">
        <v>1.1915231715857899</v>
      </c>
      <c r="C151">
        <f t="shared" si="7"/>
        <v>251604379292941.75</v>
      </c>
      <c r="D151">
        <f t="shared" si="8"/>
        <v>251.60437929294176</v>
      </c>
      <c r="H151" s="9">
        <v>8241</v>
      </c>
    </row>
    <row r="152" spans="1:8">
      <c r="A152">
        <f t="shared" si="6"/>
        <v>1.19185105552776E-6</v>
      </c>
      <c r="B152" s="9">
        <v>1.1918510555277599</v>
      </c>
      <c r="C152">
        <f t="shared" si="7"/>
        <v>251535161721403.03</v>
      </c>
      <c r="D152">
        <f t="shared" si="8"/>
        <v>251.53516172140303</v>
      </c>
      <c r="H152" s="9">
        <v>8241</v>
      </c>
    </row>
    <row r="153" spans="1:8">
      <c r="A153">
        <f t="shared" si="6"/>
        <v>1.1921789394697299E-6</v>
      </c>
      <c r="B153" s="9">
        <v>1.19217893946973</v>
      </c>
      <c r="C153">
        <f t="shared" si="7"/>
        <v>251465982223561.91</v>
      </c>
      <c r="D153">
        <f t="shared" si="8"/>
        <v>251.46598222356189</v>
      </c>
      <c r="H153" s="9">
        <v>8241</v>
      </c>
    </row>
    <row r="154" spans="1:8">
      <c r="A154">
        <f t="shared" si="6"/>
        <v>1.19250682341171E-6</v>
      </c>
      <c r="B154" s="9">
        <v>1.19250682341171</v>
      </c>
      <c r="C154">
        <f t="shared" si="7"/>
        <v>251396840768010.78</v>
      </c>
      <c r="D154">
        <f t="shared" si="8"/>
        <v>251.39684076801078</v>
      </c>
      <c r="H154" s="9">
        <v>8241</v>
      </c>
    </row>
    <row r="155" spans="1:8">
      <c r="A155">
        <f t="shared" si="6"/>
        <v>1.1928347073536799E-6</v>
      </c>
      <c r="B155" s="9">
        <v>1.19283470735368</v>
      </c>
      <c r="C155">
        <f t="shared" si="7"/>
        <v>251327737323382.91</v>
      </c>
      <c r="D155">
        <f t="shared" si="8"/>
        <v>251.32773732338291</v>
      </c>
      <c r="H155" s="9">
        <v>8241</v>
      </c>
    </row>
    <row r="156" spans="1:8">
      <c r="A156">
        <f t="shared" si="6"/>
        <v>1.1931625912956501E-6</v>
      </c>
      <c r="B156" s="9">
        <v>1.1931625912956501</v>
      </c>
      <c r="C156">
        <f t="shared" si="7"/>
        <v>251258671858339.69</v>
      </c>
      <c r="D156">
        <f t="shared" si="8"/>
        <v>251.25867185833968</v>
      </c>
      <c r="H156" s="9">
        <v>8241</v>
      </c>
    </row>
    <row r="157" spans="1:8">
      <c r="A157">
        <f t="shared" si="6"/>
        <v>1.19349047523762E-6</v>
      </c>
      <c r="B157" s="9">
        <v>1.1934904752376201</v>
      </c>
      <c r="C157">
        <f t="shared" si="7"/>
        <v>251189644341579.09</v>
      </c>
      <c r="D157">
        <f t="shared" si="8"/>
        <v>251.18964434157908</v>
      </c>
      <c r="H157" s="9">
        <v>8241</v>
      </c>
    </row>
    <row r="158" spans="1:8">
      <c r="A158">
        <f t="shared" si="6"/>
        <v>1.1938183591795899E-6</v>
      </c>
      <c r="B158" s="9">
        <v>1.1938183591795899</v>
      </c>
      <c r="C158">
        <f t="shared" si="7"/>
        <v>251120654741833.53</v>
      </c>
      <c r="D158">
        <f t="shared" si="8"/>
        <v>251.12065474183353</v>
      </c>
      <c r="H158" s="9">
        <v>8241</v>
      </c>
    </row>
    <row r="159" spans="1:8">
      <c r="A159">
        <f t="shared" si="6"/>
        <v>1.1941462431215599E-6</v>
      </c>
      <c r="B159" s="9">
        <v>1.1941462431215599</v>
      </c>
      <c r="C159">
        <f t="shared" si="7"/>
        <v>251051703027869.56</v>
      </c>
      <c r="D159">
        <f t="shared" si="8"/>
        <v>251.05170302786956</v>
      </c>
      <c r="H159" s="9">
        <v>8241</v>
      </c>
    </row>
    <row r="160" spans="1:8">
      <c r="A160">
        <f t="shared" si="6"/>
        <v>1.19447412706353E-6</v>
      </c>
      <c r="B160" s="9">
        <v>1.19447412706353</v>
      </c>
      <c r="C160">
        <f t="shared" si="7"/>
        <v>250982789168488.25</v>
      </c>
      <c r="D160">
        <f t="shared" si="8"/>
        <v>250.98278916848824</v>
      </c>
      <c r="H160" s="9">
        <v>8241</v>
      </c>
    </row>
    <row r="161" spans="1:8">
      <c r="A161">
        <f t="shared" si="6"/>
        <v>1.1948020110055E-6</v>
      </c>
      <c r="B161" s="9">
        <v>1.1948020110055</v>
      </c>
      <c r="C161">
        <f t="shared" si="7"/>
        <v>250913913132524.84</v>
      </c>
      <c r="D161">
        <f t="shared" si="8"/>
        <v>250.91391313252484</v>
      </c>
      <c r="H161" s="9">
        <v>8241</v>
      </c>
    </row>
    <row r="162" spans="1:8">
      <c r="A162">
        <f t="shared" si="6"/>
        <v>1.1951298949474701E-6</v>
      </c>
      <c r="B162" s="9">
        <v>1.19512989494747</v>
      </c>
      <c r="C162">
        <f t="shared" si="7"/>
        <v>250845074888848.72</v>
      </c>
      <c r="D162">
        <f t="shared" si="8"/>
        <v>250.84507488884873</v>
      </c>
      <c r="H162" s="9">
        <v>8241</v>
      </c>
    </row>
    <row r="163" spans="1:8">
      <c r="A163">
        <f t="shared" si="6"/>
        <v>1.19545777888944E-6</v>
      </c>
      <c r="B163" s="9">
        <v>1.19545777888944</v>
      </c>
      <c r="C163">
        <f t="shared" si="7"/>
        <v>250776274406363.47</v>
      </c>
      <c r="D163">
        <f t="shared" si="8"/>
        <v>250.77627440636346</v>
      </c>
      <c r="H163" s="9">
        <v>8241</v>
      </c>
    </row>
    <row r="164" spans="1:8">
      <c r="A164">
        <f t="shared" si="6"/>
        <v>1.1957856628314201E-6</v>
      </c>
      <c r="B164" s="9">
        <v>1.1957856628314201</v>
      </c>
      <c r="C164">
        <f t="shared" si="7"/>
        <v>250707511654004.72</v>
      </c>
      <c r="D164">
        <f t="shared" si="8"/>
        <v>250.70751165400472</v>
      </c>
      <c r="H164" s="9">
        <v>8363</v>
      </c>
    </row>
    <row r="165" spans="1:8">
      <c r="A165">
        <f t="shared" si="6"/>
        <v>1.1961135467733901E-6</v>
      </c>
      <c r="B165" s="9">
        <v>1.1961135467733901</v>
      </c>
      <c r="C165">
        <f t="shared" si="7"/>
        <v>250638786600748.37</v>
      </c>
      <c r="D165">
        <f t="shared" si="8"/>
        <v>250.63878660074838</v>
      </c>
      <c r="H165" s="9">
        <v>8363</v>
      </c>
    </row>
    <row r="166" spans="1:8">
      <c r="A166">
        <f t="shared" si="6"/>
        <v>1.1964414307153598E-6</v>
      </c>
      <c r="B166" s="9">
        <v>1.1964414307153599</v>
      </c>
      <c r="C166">
        <f t="shared" si="7"/>
        <v>250570099215598.22</v>
      </c>
      <c r="D166">
        <f t="shared" si="8"/>
        <v>250.57009921559822</v>
      </c>
      <c r="H166" s="9">
        <v>8363</v>
      </c>
    </row>
    <row r="167" spans="1:8">
      <c r="A167">
        <f t="shared" si="6"/>
        <v>1.19676931465733E-6</v>
      </c>
      <c r="B167" s="9">
        <v>1.1967693146573299</v>
      </c>
      <c r="C167">
        <f t="shared" si="7"/>
        <v>250501449467593.81</v>
      </c>
      <c r="D167">
        <f t="shared" si="8"/>
        <v>250.5014494675938</v>
      </c>
      <c r="H167" s="9">
        <v>8363</v>
      </c>
    </row>
    <row r="168" spans="1:8">
      <c r="A168">
        <f t="shared" si="6"/>
        <v>1.1970971985992999E-6</v>
      </c>
      <c r="B168" s="9">
        <v>1.1970971985993</v>
      </c>
      <c r="C168">
        <f t="shared" si="7"/>
        <v>250432837325808.87</v>
      </c>
      <c r="D168">
        <f t="shared" si="8"/>
        <v>250.43283732580886</v>
      </c>
      <c r="H168" s="9">
        <v>8363</v>
      </c>
    </row>
    <row r="169" spans="1:8">
      <c r="A169">
        <f t="shared" si="6"/>
        <v>1.19742508254127E-6</v>
      </c>
      <c r="B169" s="9">
        <v>1.19742508254127</v>
      </c>
      <c r="C169">
        <f t="shared" si="7"/>
        <v>250364262759350.94</v>
      </c>
      <c r="D169">
        <f t="shared" si="8"/>
        <v>250.36426275935094</v>
      </c>
      <c r="H169" s="9">
        <v>8363</v>
      </c>
    </row>
    <row r="170" spans="1:8">
      <c r="A170">
        <f t="shared" si="6"/>
        <v>1.19775296648324E-6</v>
      </c>
      <c r="B170" s="9">
        <v>1.19775296648324</v>
      </c>
      <c r="C170">
        <f t="shared" si="7"/>
        <v>250295725737361.34</v>
      </c>
      <c r="D170">
        <f t="shared" si="8"/>
        <v>250.29572573736135</v>
      </c>
      <c r="H170" s="9">
        <v>8363</v>
      </c>
    </row>
    <row r="171" spans="1:8">
      <c r="A171">
        <f t="shared" si="6"/>
        <v>1.1980808504252101E-6</v>
      </c>
      <c r="B171" s="9">
        <v>1.1980808504252101</v>
      </c>
      <c r="C171">
        <f t="shared" si="7"/>
        <v>250227226229015.22</v>
      </c>
      <c r="D171">
        <f t="shared" si="8"/>
        <v>250.22722622901523</v>
      </c>
      <c r="H171" s="9">
        <v>8363</v>
      </c>
    </row>
    <row r="172" spans="1:8">
      <c r="A172">
        <f t="shared" si="6"/>
        <v>1.1984087343671801E-6</v>
      </c>
      <c r="B172" s="9">
        <v>1.1984087343671801</v>
      </c>
      <c r="C172">
        <f t="shared" si="7"/>
        <v>250158764203521.47</v>
      </c>
      <c r="D172">
        <f t="shared" si="8"/>
        <v>250.15876420352146</v>
      </c>
      <c r="H172" s="9">
        <v>8363</v>
      </c>
    </row>
    <row r="173" spans="1:8">
      <c r="A173">
        <f t="shared" si="6"/>
        <v>1.19873661830915E-6</v>
      </c>
      <c r="B173" s="9">
        <v>1.1987366183091499</v>
      </c>
      <c r="C173">
        <f t="shared" si="7"/>
        <v>250090339630122.66</v>
      </c>
      <c r="D173">
        <f t="shared" si="8"/>
        <v>250.09033963012266</v>
      </c>
      <c r="H173" s="9">
        <v>8363</v>
      </c>
    </row>
    <row r="174" spans="1:8">
      <c r="A174">
        <f t="shared" si="6"/>
        <v>1.1990645022511299E-6</v>
      </c>
      <c r="B174" s="9">
        <v>1.1990645022511299</v>
      </c>
      <c r="C174">
        <f t="shared" si="7"/>
        <v>250021952478092.81</v>
      </c>
      <c r="D174">
        <f t="shared" si="8"/>
        <v>250.0219524780928</v>
      </c>
      <c r="H174" s="9">
        <v>8363</v>
      </c>
    </row>
    <row r="175" spans="1:8">
      <c r="A175">
        <f t="shared" si="6"/>
        <v>1.1993923861931E-6</v>
      </c>
      <c r="B175" s="9">
        <v>1.1993923861931</v>
      </c>
      <c r="C175">
        <f t="shared" si="7"/>
        <v>249953602716745.91</v>
      </c>
      <c r="D175">
        <f t="shared" si="8"/>
        <v>249.95360271674591</v>
      </c>
      <c r="H175" s="9">
        <v>8363</v>
      </c>
    </row>
    <row r="176" spans="1:8">
      <c r="A176">
        <f t="shared" si="6"/>
        <v>1.19972027013507E-6</v>
      </c>
      <c r="B176" s="9">
        <v>1.19972027013507</v>
      </c>
      <c r="C176">
        <f t="shared" si="7"/>
        <v>249885290315423.28</v>
      </c>
      <c r="D176">
        <f t="shared" si="8"/>
        <v>249.88529031542328</v>
      </c>
      <c r="H176" s="9">
        <v>8363</v>
      </c>
    </row>
    <row r="177" spans="1:8">
      <c r="A177">
        <f t="shared" si="6"/>
        <v>1.2000481540770401E-6</v>
      </c>
      <c r="B177" s="9">
        <v>1.20004815407704</v>
      </c>
      <c r="C177">
        <f t="shared" si="7"/>
        <v>249817015243501.72</v>
      </c>
      <c r="D177">
        <f t="shared" si="8"/>
        <v>249.81701524350171</v>
      </c>
      <c r="H177" s="9">
        <v>8363</v>
      </c>
    </row>
    <row r="178" spans="1:8">
      <c r="A178">
        <f t="shared" si="6"/>
        <v>1.20037603801901E-6</v>
      </c>
      <c r="B178" s="9">
        <v>1.20037603801901</v>
      </c>
      <c r="C178">
        <f t="shared" si="7"/>
        <v>249748777470391.53</v>
      </c>
      <c r="D178">
        <f t="shared" si="8"/>
        <v>249.74877747039153</v>
      </c>
      <c r="H178" s="9">
        <v>8363</v>
      </c>
    </row>
    <row r="179" spans="1:8">
      <c r="A179">
        <f t="shared" si="6"/>
        <v>1.20070392196098E-6</v>
      </c>
      <c r="B179" s="9">
        <v>1.2007039219609801</v>
      </c>
      <c r="C179">
        <f t="shared" si="7"/>
        <v>249680576965536.5</v>
      </c>
      <c r="D179">
        <f t="shared" si="8"/>
        <v>249.68057696553649</v>
      </c>
      <c r="H179" s="9">
        <v>8363</v>
      </c>
    </row>
    <row r="180" spans="1:8">
      <c r="A180">
        <f t="shared" si="6"/>
        <v>1.2010318059029499E-6</v>
      </c>
      <c r="B180" s="9">
        <v>1.2010318059029499</v>
      </c>
      <c r="C180">
        <f t="shared" si="7"/>
        <v>249612413698413.69</v>
      </c>
      <c r="D180">
        <f t="shared" si="8"/>
        <v>249.61241369841369</v>
      </c>
      <c r="H180" s="9">
        <v>8664</v>
      </c>
    </row>
    <row r="181" spans="1:8">
      <c r="A181">
        <f t="shared" si="6"/>
        <v>1.2013596898449199E-6</v>
      </c>
      <c r="B181" s="9">
        <v>1.2013596898449199</v>
      </c>
      <c r="C181">
        <f t="shared" si="7"/>
        <v>249544287638533.44</v>
      </c>
      <c r="D181">
        <f t="shared" si="8"/>
        <v>249.54428763853343</v>
      </c>
      <c r="H181" s="9">
        <v>8664</v>
      </c>
    </row>
    <row r="182" spans="1:8">
      <c r="A182">
        <f t="shared" si="6"/>
        <v>1.20168757378689E-6</v>
      </c>
      <c r="B182" s="9">
        <v>1.20168757378689</v>
      </c>
      <c r="C182">
        <f t="shared" si="7"/>
        <v>249476198755439.47</v>
      </c>
      <c r="D182">
        <f t="shared" si="8"/>
        <v>249.47619875543947</v>
      </c>
      <c r="H182" s="9">
        <v>8664</v>
      </c>
    </row>
    <row r="183" spans="1:8">
      <c r="A183">
        <f t="shared" si="6"/>
        <v>1.2020154577288599E-6</v>
      </c>
      <c r="B183" s="9">
        <v>1.20201545772886</v>
      </c>
      <c r="C183">
        <f t="shared" si="7"/>
        <v>249408147018708.75</v>
      </c>
      <c r="D183">
        <f t="shared" si="8"/>
        <v>249.40814701870875</v>
      </c>
      <c r="H183" s="9">
        <v>8664</v>
      </c>
    </row>
    <row r="184" spans="1:8">
      <c r="A184">
        <f t="shared" si="6"/>
        <v>1.20234334167084E-6</v>
      </c>
      <c r="B184" s="9">
        <v>1.20234334167084</v>
      </c>
      <c r="C184">
        <f t="shared" si="7"/>
        <v>249340132397949.28</v>
      </c>
      <c r="D184">
        <f t="shared" si="8"/>
        <v>249.34013239794928</v>
      </c>
      <c r="H184" s="9">
        <v>8664</v>
      </c>
    </row>
    <row r="185" spans="1:8">
      <c r="A185">
        <f t="shared" si="6"/>
        <v>1.20267122561281E-6</v>
      </c>
      <c r="B185" s="9">
        <v>1.20267122561281</v>
      </c>
      <c r="C185">
        <f t="shared" si="7"/>
        <v>249272154862808.44</v>
      </c>
      <c r="D185">
        <f t="shared" si="8"/>
        <v>249.27215486280843</v>
      </c>
      <c r="H185" s="9">
        <v>8664</v>
      </c>
    </row>
    <row r="186" spans="1:8">
      <c r="A186">
        <f t="shared" si="6"/>
        <v>1.2029991095547801E-6</v>
      </c>
      <c r="B186" s="9">
        <v>1.2029991095547801</v>
      </c>
      <c r="C186">
        <f t="shared" si="7"/>
        <v>249204214382960.5</v>
      </c>
      <c r="D186">
        <f t="shared" si="8"/>
        <v>249.20421438296049</v>
      </c>
      <c r="H186" s="9">
        <v>8664</v>
      </c>
    </row>
    <row r="187" spans="1:8">
      <c r="A187">
        <f t="shared" si="6"/>
        <v>1.2033269934967501E-6</v>
      </c>
      <c r="B187" s="9">
        <v>1.2033269934967501</v>
      </c>
      <c r="C187">
        <f t="shared" si="7"/>
        <v>249136310928114.87</v>
      </c>
      <c r="D187">
        <f t="shared" si="8"/>
        <v>249.13631092811488</v>
      </c>
      <c r="H187" s="9">
        <v>8664</v>
      </c>
    </row>
    <row r="188" spans="1:8">
      <c r="A188">
        <f t="shared" si="6"/>
        <v>1.20365487743872E-6</v>
      </c>
      <c r="B188" s="9">
        <v>1.2036548774387199</v>
      </c>
      <c r="C188">
        <f t="shared" si="7"/>
        <v>249068444468014</v>
      </c>
      <c r="D188">
        <f t="shared" si="8"/>
        <v>249.06844446801401</v>
      </c>
      <c r="H188" s="9">
        <v>8664</v>
      </c>
    </row>
    <row r="189" spans="1:8">
      <c r="A189">
        <f t="shared" si="6"/>
        <v>1.2039827613806899E-6</v>
      </c>
      <c r="B189" s="9">
        <v>1.2039827613806899</v>
      </c>
      <c r="C189">
        <f t="shared" si="7"/>
        <v>249000614972433.12</v>
      </c>
      <c r="D189">
        <f t="shared" si="8"/>
        <v>249.00061497243311</v>
      </c>
      <c r="H189" s="9">
        <v>8664</v>
      </c>
    </row>
    <row r="190" spans="1:8">
      <c r="A190">
        <f t="shared" si="6"/>
        <v>1.2043106453226599E-6</v>
      </c>
      <c r="B190" s="9">
        <v>1.20431064532266</v>
      </c>
      <c r="C190">
        <f t="shared" si="7"/>
        <v>248932822411180.59</v>
      </c>
      <c r="D190">
        <f t="shared" si="8"/>
        <v>248.93282241118058</v>
      </c>
      <c r="H190" s="9">
        <v>8664</v>
      </c>
    </row>
    <row r="191" spans="1:8">
      <c r="A191">
        <f t="shared" si="6"/>
        <v>1.20463852926463E-6</v>
      </c>
      <c r="B191" s="9">
        <v>1.20463852926463</v>
      </c>
      <c r="C191">
        <f t="shared" si="7"/>
        <v>248865066754097.53</v>
      </c>
      <c r="D191">
        <f t="shared" si="8"/>
        <v>248.86506675409754</v>
      </c>
      <c r="H191" s="9">
        <v>8664</v>
      </c>
    </row>
    <row r="192" spans="1:8">
      <c r="A192">
        <f t="shared" si="6"/>
        <v>1.2049664132065999E-6</v>
      </c>
      <c r="B192" s="9">
        <v>1.2049664132066</v>
      </c>
      <c r="C192">
        <f t="shared" si="7"/>
        <v>248797347971057.91</v>
      </c>
      <c r="D192">
        <f t="shared" si="8"/>
        <v>248.79734797105792</v>
      </c>
      <c r="H192" s="9">
        <v>8664</v>
      </c>
    </row>
    <row r="193" spans="1:8">
      <c r="A193">
        <f t="shared" si="6"/>
        <v>1.2052942971485701E-6</v>
      </c>
      <c r="B193" s="9">
        <v>1.2052942971485701</v>
      </c>
      <c r="C193">
        <f t="shared" si="7"/>
        <v>248729666031968.47</v>
      </c>
      <c r="D193">
        <f t="shared" si="8"/>
        <v>248.72966603196846</v>
      </c>
      <c r="H193" s="9">
        <v>8664</v>
      </c>
    </row>
    <row r="194" spans="1:8">
      <c r="A194">
        <f t="shared" si="6"/>
        <v>1.20562218109055E-6</v>
      </c>
      <c r="B194" s="9">
        <v>1.2056221810905501</v>
      </c>
      <c r="C194">
        <f t="shared" si="7"/>
        <v>248662020906766.69</v>
      </c>
      <c r="D194">
        <f t="shared" si="8"/>
        <v>248.66202090676668</v>
      </c>
      <c r="H194" s="9">
        <v>8664</v>
      </c>
    </row>
    <row r="195" spans="1:8">
      <c r="A195">
        <f t="shared" si="6"/>
        <v>1.2059500650325199E-6</v>
      </c>
      <c r="B195" s="9">
        <v>1.2059500650325199</v>
      </c>
      <c r="C195">
        <f t="shared" si="7"/>
        <v>248594412565428.84</v>
      </c>
      <c r="D195">
        <f t="shared" si="8"/>
        <v>248.59441256542885</v>
      </c>
      <c r="H195" s="9">
        <v>8664</v>
      </c>
    </row>
    <row r="196" spans="1:8">
      <c r="A196">
        <f t="shared" si="6"/>
        <v>1.2062779489744899E-6</v>
      </c>
      <c r="B196" s="9">
        <v>1.2062779489744899</v>
      </c>
      <c r="C196">
        <f t="shared" si="7"/>
        <v>248526840977957.69</v>
      </c>
      <c r="D196">
        <f t="shared" si="8"/>
        <v>248.52684097795768</v>
      </c>
      <c r="H196" s="9">
        <v>8664</v>
      </c>
    </row>
    <row r="197" spans="1:8">
      <c r="A197">
        <f t="shared" si="6"/>
        <v>1.20660583291646E-6</v>
      </c>
      <c r="B197" s="9">
        <v>1.20660583291646</v>
      </c>
      <c r="C197">
        <f t="shared" si="7"/>
        <v>248459306114390.62</v>
      </c>
      <c r="D197">
        <f t="shared" si="8"/>
        <v>248.45930611439061</v>
      </c>
      <c r="H197" s="9">
        <v>8664</v>
      </c>
    </row>
    <row r="198" spans="1:8">
      <c r="A198">
        <f t="shared" si="6"/>
        <v>1.2069337168584299E-6</v>
      </c>
      <c r="B198" s="9">
        <v>1.20693371685843</v>
      </c>
      <c r="C198">
        <f t="shared" si="7"/>
        <v>248391807944797.72</v>
      </c>
      <c r="D198">
        <f t="shared" si="8"/>
        <v>248.3918079447977</v>
      </c>
      <c r="H198" s="9">
        <v>8664</v>
      </c>
    </row>
    <row r="199" spans="1:8">
      <c r="A199">
        <f t="shared" ref="A199:A262" si="9">B199/1000000</f>
        <v>1.2072616008004001E-6</v>
      </c>
      <c r="B199" s="9">
        <v>1.2072616008004</v>
      </c>
      <c r="C199">
        <f t="shared" ref="C199:C262" si="10">wavelength_to_freq(B199)</f>
        <v>248324346439281.41</v>
      </c>
      <c r="D199">
        <f t="shared" ref="D199:D262" si="11">C199/1000000000000</f>
        <v>248.32434643928141</v>
      </c>
      <c r="H199" s="9">
        <v>8664</v>
      </c>
    </row>
    <row r="200" spans="1:8">
      <c r="A200">
        <f t="shared" si="9"/>
        <v>1.20758948474237E-6</v>
      </c>
      <c r="B200" s="9">
        <v>1.20758948474237</v>
      </c>
      <c r="C200">
        <f t="shared" si="10"/>
        <v>248256921567976.75</v>
      </c>
      <c r="D200">
        <f t="shared" si="11"/>
        <v>248.25692156797675</v>
      </c>
      <c r="H200" s="9">
        <v>8664</v>
      </c>
    </row>
    <row r="201" spans="1:8">
      <c r="A201">
        <f t="shared" si="9"/>
        <v>1.2079173686843402E-6</v>
      </c>
      <c r="B201" s="9">
        <v>1.2079173686843401</v>
      </c>
      <c r="C201">
        <f t="shared" si="10"/>
        <v>248189533301051.06</v>
      </c>
      <c r="D201">
        <f t="shared" si="11"/>
        <v>248.18953330105106</v>
      </c>
      <c r="H201" s="9">
        <v>8746</v>
      </c>
    </row>
    <row r="202" spans="1:8">
      <c r="A202">
        <f t="shared" si="9"/>
        <v>1.2082452526263101E-6</v>
      </c>
      <c r="B202" s="9">
        <v>1.2082452526263101</v>
      </c>
      <c r="C202">
        <f t="shared" si="10"/>
        <v>248122181608704.19</v>
      </c>
      <c r="D202">
        <f t="shared" si="11"/>
        <v>248.12218160870418</v>
      </c>
      <c r="H202" s="9">
        <v>8746</v>
      </c>
    </row>
    <row r="203" spans="1:8">
      <c r="A203">
        <f t="shared" si="9"/>
        <v>1.2085731365682798E-6</v>
      </c>
      <c r="B203" s="9">
        <v>1.2085731365682799</v>
      </c>
      <c r="C203">
        <f t="shared" si="10"/>
        <v>248054866461168.31</v>
      </c>
      <c r="D203">
        <f t="shared" si="11"/>
        <v>248.0548664611683</v>
      </c>
      <c r="H203" s="9">
        <v>8746</v>
      </c>
    </row>
    <row r="204" spans="1:8">
      <c r="A204">
        <f t="shared" si="9"/>
        <v>1.2089010205102599E-6</v>
      </c>
      <c r="B204" s="9">
        <v>1.2089010205102599</v>
      </c>
      <c r="C204">
        <f t="shared" si="10"/>
        <v>247987587828705.66</v>
      </c>
      <c r="D204">
        <f t="shared" si="11"/>
        <v>247.98758782870564</v>
      </c>
      <c r="H204" s="9">
        <v>8746</v>
      </c>
    </row>
    <row r="205" spans="1:8">
      <c r="A205">
        <f t="shared" si="9"/>
        <v>1.2092289044522301E-6</v>
      </c>
      <c r="B205" s="9">
        <v>1.20922890445223</v>
      </c>
      <c r="C205">
        <f t="shared" si="10"/>
        <v>247920345681617.09</v>
      </c>
      <c r="D205">
        <f t="shared" si="11"/>
        <v>247.92034568161711</v>
      </c>
      <c r="H205" s="9">
        <v>8746</v>
      </c>
    </row>
    <row r="206" spans="1:8">
      <c r="A206">
        <f t="shared" si="9"/>
        <v>1.2095567883942E-6</v>
      </c>
      <c r="B206" s="9">
        <v>1.2095567883942</v>
      </c>
      <c r="C206">
        <f t="shared" si="10"/>
        <v>247853139990229.47</v>
      </c>
      <c r="D206">
        <f t="shared" si="11"/>
        <v>247.85313999022947</v>
      </c>
      <c r="H206" s="9">
        <v>8746</v>
      </c>
    </row>
    <row r="207" spans="1:8">
      <c r="A207">
        <f t="shared" si="9"/>
        <v>1.2098846723361699E-6</v>
      </c>
      <c r="B207" s="9">
        <v>1.20988467233617</v>
      </c>
      <c r="C207">
        <f t="shared" si="10"/>
        <v>247785970724903.75</v>
      </c>
      <c r="D207">
        <f t="shared" si="11"/>
        <v>247.78597072490376</v>
      </c>
      <c r="H207" s="9">
        <v>8746</v>
      </c>
    </row>
    <row r="208" spans="1:8">
      <c r="A208">
        <f t="shared" si="9"/>
        <v>1.2102125562781401E-6</v>
      </c>
      <c r="B208" s="9">
        <v>1.2102125562781401</v>
      </c>
      <c r="C208">
        <f t="shared" si="10"/>
        <v>247718837856033.19</v>
      </c>
      <c r="D208">
        <f t="shared" si="11"/>
        <v>247.71883785603319</v>
      </c>
      <c r="H208" s="9">
        <v>8746</v>
      </c>
    </row>
    <row r="209" spans="1:8">
      <c r="A209">
        <f t="shared" si="9"/>
        <v>1.21054044022011E-6</v>
      </c>
      <c r="B209" s="9">
        <v>1.2105404402201101</v>
      </c>
      <c r="C209">
        <f t="shared" si="10"/>
        <v>247651741354042.97</v>
      </c>
      <c r="D209">
        <f t="shared" si="11"/>
        <v>247.65174135404297</v>
      </c>
      <c r="H209" s="9">
        <v>8746</v>
      </c>
    </row>
    <row r="210" spans="1:8">
      <c r="A210">
        <f t="shared" si="9"/>
        <v>1.21086832416208E-6</v>
      </c>
      <c r="B210" s="9">
        <v>1.2108683241620799</v>
      </c>
      <c r="C210">
        <f t="shared" si="10"/>
        <v>247584681189390.41</v>
      </c>
      <c r="D210">
        <f t="shared" si="11"/>
        <v>247.58468118939041</v>
      </c>
      <c r="H210" s="9">
        <v>8746</v>
      </c>
    </row>
    <row r="211" spans="1:8">
      <c r="A211">
        <f t="shared" si="9"/>
        <v>1.2111962081040499E-6</v>
      </c>
      <c r="B211" s="9">
        <v>1.2111962081040499</v>
      </c>
      <c r="C211">
        <f t="shared" si="10"/>
        <v>247517657332564.75</v>
      </c>
      <c r="D211">
        <f t="shared" si="11"/>
        <v>247.51765733256474</v>
      </c>
      <c r="H211" s="9">
        <v>8746</v>
      </c>
    </row>
    <row r="212" spans="1:8">
      <c r="A212">
        <f t="shared" si="9"/>
        <v>1.21152409204602E-6</v>
      </c>
      <c r="B212" s="9">
        <v>1.21152409204602</v>
      </c>
      <c r="C212">
        <f t="shared" si="10"/>
        <v>247450669754087.19</v>
      </c>
      <c r="D212">
        <f t="shared" si="11"/>
        <v>247.45066975408719</v>
      </c>
      <c r="H212" s="9">
        <v>8746</v>
      </c>
    </row>
    <row r="213" spans="1:8">
      <c r="A213">
        <f t="shared" si="9"/>
        <v>1.21185197598799E-6</v>
      </c>
      <c r="B213" s="9">
        <v>1.21185197598799</v>
      </c>
      <c r="C213">
        <f t="shared" si="10"/>
        <v>247383718424510.84</v>
      </c>
      <c r="D213">
        <f t="shared" si="11"/>
        <v>247.38371842451085</v>
      </c>
      <c r="H213" s="9">
        <v>8746</v>
      </c>
    </row>
    <row r="214" spans="1:8">
      <c r="A214">
        <f t="shared" si="9"/>
        <v>1.2121798599299599E-6</v>
      </c>
      <c r="B214" s="9">
        <v>1.21217985992996</v>
      </c>
      <c r="C214">
        <f t="shared" si="10"/>
        <v>247316803314420.75</v>
      </c>
      <c r="D214">
        <f t="shared" si="11"/>
        <v>247.31680331442075</v>
      </c>
      <c r="H214" s="9">
        <v>8746</v>
      </c>
    </row>
    <row r="215" spans="1:8">
      <c r="A215">
        <f t="shared" si="9"/>
        <v>1.21250774387194E-6</v>
      </c>
      <c r="B215" s="9">
        <v>1.21250774387194</v>
      </c>
      <c r="C215">
        <f t="shared" si="10"/>
        <v>247249924394431.59</v>
      </c>
      <c r="D215">
        <f t="shared" si="11"/>
        <v>247.24992439443159</v>
      </c>
      <c r="H215" s="9">
        <v>8945</v>
      </c>
    </row>
    <row r="216" spans="1:8">
      <c r="A216">
        <f t="shared" si="9"/>
        <v>1.2128356278139102E-6</v>
      </c>
      <c r="B216" s="9">
        <v>1.2128356278139101</v>
      </c>
      <c r="C216">
        <f t="shared" si="10"/>
        <v>247183081635196.06</v>
      </c>
      <c r="D216">
        <f t="shared" si="11"/>
        <v>247.18308163519606</v>
      </c>
      <c r="H216" s="9">
        <v>8945</v>
      </c>
    </row>
    <row r="217" spans="1:8">
      <c r="A217">
        <f t="shared" si="9"/>
        <v>1.2131635117558801E-6</v>
      </c>
      <c r="B217" s="9">
        <v>1.2131635117558801</v>
      </c>
      <c r="C217">
        <f t="shared" si="10"/>
        <v>247116275007392.41</v>
      </c>
      <c r="D217">
        <f t="shared" si="11"/>
        <v>247.1162750073924</v>
      </c>
      <c r="H217" s="9">
        <v>8945</v>
      </c>
    </row>
    <row r="218" spans="1:8">
      <c r="A218">
        <f t="shared" si="9"/>
        <v>1.2134913956978498E-6</v>
      </c>
      <c r="B218" s="9">
        <v>1.2134913956978499</v>
      </c>
      <c r="C218">
        <f t="shared" si="10"/>
        <v>247049504481732.66</v>
      </c>
      <c r="D218">
        <f t="shared" si="11"/>
        <v>247.04950448173267</v>
      </c>
      <c r="H218" s="9">
        <v>8945</v>
      </c>
    </row>
    <row r="219" spans="1:8">
      <c r="A219">
        <f t="shared" si="9"/>
        <v>1.21381927963982E-6</v>
      </c>
      <c r="B219" s="9">
        <v>1.2138192796398199</v>
      </c>
      <c r="C219">
        <f t="shared" si="10"/>
        <v>246982770028960.37</v>
      </c>
      <c r="D219">
        <f t="shared" si="11"/>
        <v>246.98277002896037</v>
      </c>
      <c r="H219" s="9">
        <v>8945</v>
      </c>
    </row>
    <row r="220" spans="1:8">
      <c r="A220">
        <f t="shared" si="9"/>
        <v>1.2141471635817899E-6</v>
      </c>
      <c r="B220" s="9">
        <v>1.21414716358179</v>
      </c>
      <c r="C220">
        <f t="shared" si="10"/>
        <v>246916071619850.84</v>
      </c>
      <c r="D220">
        <f t="shared" si="11"/>
        <v>246.91607161985084</v>
      </c>
      <c r="H220" s="9">
        <v>8945</v>
      </c>
    </row>
    <row r="221" spans="1:8">
      <c r="A221">
        <f t="shared" si="9"/>
        <v>1.2144750475237601E-6</v>
      </c>
      <c r="B221" s="9">
        <v>1.21447504752376</v>
      </c>
      <c r="C221">
        <f t="shared" si="10"/>
        <v>246849409225210.81</v>
      </c>
      <c r="D221">
        <f t="shared" si="11"/>
        <v>246.84940922521082</v>
      </c>
      <c r="H221" s="9">
        <v>8945</v>
      </c>
    </row>
    <row r="222" spans="1:8">
      <c r="A222">
        <f t="shared" si="9"/>
        <v>1.21480293146573E-6</v>
      </c>
      <c r="B222" s="9">
        <v>1.21480293146573</v>
      </c>
      <c r="C222">
        <f t="shared" si="10"/>
        <v>246782782815878.69</v>
      </c>
      <c r="D222">
        <f t="shared" si="11"/>
        <v>246.78278281587868</v>
      </c>
      <c r="H222" s="9">
        <v>8945</v>
      </c>
    </row>
    <row r="223" spans="1:8">
      <c r="A223">
        <f t="shared" si="9"/>
        <v>1.2151308154077001E-6</v>
      </c>
      <c r="B223" s="9">
        <v>1.2151308154077001</v>
      </c>
      <c r="C223">
        <f t="shared" si="10"/>
        <v>246716192362724.16</v>
      </c>
      <c r="D223">
        <f t="shared" si="11"/>
        <v>246.71619236272414</v>
      </c>
      <c r="H223" s="9">
        <v>8945</v>
      </c>
    </row>
    <row r="224" spans="1:8">
      <c r="A224">
        <f t="shared" si="9"/>
        <v>1.2154586993496701E-6</v>
      </c>
      <c r="B224" s="9">
        <v>1.2154586993496701</v>
      </c>
      <c r="C224">
        <f t="shared" si="10"/>
        <v>246649637836648.53</v>
      </c>
      <c r="D224">
        <f t="shared" si="11"/>
        <v>246.64963783664854</v>
      </c>
      <c r="H224" s="9">
        <v>8945</v>
      </c>
    </row>
    <row r="225" spans="1:8">
      <c r="A225">
        <f t="shared" si="9"/>
        <v>1.21578658329165E-6</v>
      </c>
      <c r="B225" s="9">
        <v>1.2157865832916499</v>
      </c>
      <c r="C225">
        <f t="shared" si="10"/>
        <v>246583119208582.41</v>
      </c>
      <c r="D225">
        <f t="shared" si="11"/>
        <v>246.58311920858242</v>
      </c>
      <c r="H225" s="9">
        <v>8945</v>
      </c>
    </row>
    <row r="226" spans="1:8">
      <c r="A226">
        <f t="shared" si="9"/>
        <v>1.2161144672336199E-6</v>
      </c>
      <c r="B226" s="9">
        <v>1.2161144672336199</v>
      </c>
      <c r="C226">
        <f t="shared" si="10"/>
        <v>246516636449493.69</v>
      </c>
      <c r="D226">
        <f t="shared" si="11"/>
        <v>246.51663644949369</v>
      </c>
      <c r="H226" s="9">
        <v>8945</v>
      </c>
    </row>
    <row r="227" spans="1:8">
      <c r="A227">
        <f t="shared" si="9"/>
        <v>1.21644235117559E-6</v>
      </c>
      <c r="B227" s="9">
        <v>1.21644235117559</v>
      </c>
      <c r="C227">
        <f t="shared" si="10"/>
        <v>246450189530375.72</v>
      </c>
      <c r="D227">
        <f t="shared" si="11"/>
        <v>246.45018953037572</v>
      </c>
      <c r="H227" s="9">
        <v>8945</v>
      </c>
    </row>
    <row r="228" spans="1:8">
      <c r="A228">
        <f t="shared" si="9"/>
        <v>1.21677023511756E-6</v>
      </c>
      <c r="B228" s="9">
        <v>1.21677023511756</v>
      </c>
      <c r="C228">
        <f t="shared" si="10"/>
        <v>246383778422254.97</v>
      </c>
      <c r="D228">
        <f t="shared" si="11"/>
        <v>246.38377842225498</v>
      </c>
      <c r="H228" s="9">
        <v>8945</v>
      </c>
    </row>
    <row r="229" spans="1:8">
      <c r="A229">
        <f t="shared" si="9"/>
        <v>1.2170981190595301E-6</v>
      </c>
      <c r="B229" s="9">
        <v>1.21709811905953</v>
      </c>
      <c r="C229">
        <f t="shared" si="10"/>
        <v>246317403096189.25</v>
      </c>
      <c r="D229">
        <f t="shared" si="11"/>
        <v>246.31740309618925</v>
      </c>
      <c r="H229" s="9">
        <v>8945</v>
      </c>
    </row>
    <row r="230" spans="1:8">
      <c r="A230">
        <f t="shared" si="9"/>
        <v>1.2174260030015001E-6</v>
      </c>
      <c r="B230" s="9">
        <v>1.2174260030015001</v>
      </c>
      <c r="C230">
        <f t="shared" si="10"/>
        <v>246251063523267.47</v>
      </c>
      <c r="D230">
        <f t="shared" si="11"/>
        <v>246.25106352326748</v>
      </c>
      <c r="H230" s="9">
        <v>8945</v>
      </c>
    </row>
    <row r="231" spans="1:8">
      <c r="A231">
        <f t="shared" si="9"/>
        <v>1.21775388694347E-6</v>
      </c>
      <c r="B231" s="9">
        <v>1.2177538869434701</v>
      </c>
      <c r="C231">
        <f t="shared" si="10"/>
        <v>246184759674609.69</v>
      </c>
      <c r="D231">
        <f t="shared" si="11"/>
        <v>246.18475967460969</v>
      </c>
      <c r="H231" s="9">
        <v>8945</v>
      </c>
    </row>
    <row r="232" spans="1:8">
      <c r="A232">
        <f t="shared" si="9"/>
        <v>1.2180817708854399E-6</v>
      </c>
      <c r="B232" s="9">
        <v>1.2180817708854399</v>
      </c>
      <c r="C232">
        <f t="shared" si="10"/>
        <v>246118491521367.12</v>
      </c>
      <c r="D232">
        <f t="shared" si="11"/>
        <v>246.11849152136713</v>
      </c>
      <c r="H232" s="9">
        <v>8945</v>
      </c>
    </row>
    <row r="233" spans="1:8">
      <c r="A233">
        <f t="shared" si="9"/>
        <v>1.2184096548274099E-6</v>
      </c>
      <c r="B233" s="9">
        <v>1.2184096548274099</v>
      </c>
      <c r="C233">
        <f t="shared" si="10"/>
        <v>246052259034721.94</v>
      </c>
      <c r="D233">
        <f t="shared" si="11"/>
        <v>246.05225903472194</v>
      </c>
      <c r="H233" s="9">
        <v>8945</v>
      </c>
    </row>
    <row r="234" spans="1:8">
      <c r="A234">
        <f t="shared" si="9"/>
        <v>1.21873753876938E-6</v>
      </c>
      <c r="B234" s="9">
        <v>1.21873753876938</v>
      </c>
      <c r="C234">
        <f t="shared" si="10"/>
        <v>245986062185887.34</v>
      </c>
      <c r="D234">
        <f t="shared" si="11"/>
        <v>245.98606218588733</v>
      </c>
      <c r="H234" s="9">
        <v>8945</v>
      </c>
    </row>
    <row r="235" spans="1:8">
      <c r="A235">
        <f t="shared" si="9"/>
        <v>1.2190654227113599E-6</v>
      </c>
      <c r="B235" s="9">
        <v>1.21906542271136</v>
      </c>
      <c r="C235">
        <f t="shared" si="10"/>
        <v>245919900946105.59</v>
      </c>
      <c r="D235">
        <f t="shared" si="11"/>
        <v>245.9199009461056</v>
      </c>
      <c r="H235" s="9">
        <v>8945</v>
      </c>
    </row>
    <row r="236" spans="1:8">
      <c r="A236">
        <f t="shared" si="9"/>
        <v>1.2193933066533301E-6</v>
      </c>
      <c r="B236" s="9">
        <v>1.21939330665333</v>
      </c>
      <c r="C236">
        <f t="shared" si="10"/>
        <v>245853775286655.84</v>
      </c>
      <c r="D236">
        <f t="shared" si="11"/>
        <v>245.85377528665583</v>
      </c>
      <c r="H236" s="9">
        <v>8945</v>
      </c>
    </row>
    <row r="237" spans="1:8">
      <c r="A237">
        <f t="shared" si="9"/>
        <v>1.2197211905953E-6</v>
      </c>
      <c r="B237" s="9">
        <v>1.2197211905953</v>
      </c>
      <c r="C237">
        <f t="shared" si="10"/>
        <v>245787685178842.03</v>
      </c>
      <c r="D237">
        <f t="shared" si="11"/>
        <v>245.78768517884203</v>
      </c>
      <c r="H237" s="9">
        <v>8945</v>
      </c>
    </row>
    <row r="238" spans="1:8">
      <c r="A238">
        <f t="shared" si="9"/>
        <v>1.2200490745372701E-6</v>
      </c>
      <c r="B238" s="9">
        <v>1.2200490745372701</v>
      </c>
      <c r="C238">
        <f t="shared" si="10"/>
        <v>245721630594001.09</v>
      </c>
      <c r="D238">
        <f t="shared" si="11"/>
        <v>245.72163059400108</v>
      </c>
      <c r="H238" s="9">
        <v>8945</v>
      </c>
    </row>
    <row r="239" spans="1:8">
      <c r="A239">
        <f t="shared" si="9"/>
        <v>1.2203769584792401E-6</v>
      </c>
      <c r="B239" s="9">
        <v>1.2203769584792401</v>
      </c>
      <c r="C239">
        <f t="shared" si="10"/>
        <v>245655611503500.69</v>
      </c>
      <c r="D239">
        <f t="shared" si="11"/>
        <v>245.65561150350069</v>
      </c>
      <c r="H239" s="9">
        <v>8945</v>
      </c>
    </row>
    <row r="240" spans="1:8">
      <c r="A240">
        <f t="shared" si="9"/>
        <v>1.22070484242121E-6</v>
      </c>
      <c r="B240" s="9">
        <v>1.2207048424212099</v>
      </c>
      <c r="C240">
        <f t="shared" si="10"/>
        <v>245589627878739.28</v>
      </c>
      <c r="D240">
        <f t="shared" si="11"/>
        <v>245.58962787873929</v>
      </c>
      <c r="H240" s="9">
        <v>8945</v>
      </c>
    </row>
    <row r="241" spans="1:8">
      <c r="A241">
        <f t="shared" si="9"/>
        <v>1.2210327263631799E-6</v>
      </c>
      <c r="B241" s="9">
        <v>1.2210327263631799</v>
      </c>
      <c r="C241">
        <f t="shared" si="10"/>
        <v>245523679691145.91</v>
      </c>
      <c r="D241">
        <f t="shared" si="11"/>
        <v>245.5236796911459</v>
      </c>
      <c r="H241" s="9">
        <v>8945</v>
      </c>
    </row>
    <row r="242" spans="1:8">
      <c r="A242">
        <f t="shared" si="9"/>
        <v>1.2213606103051499E-6</v>
      </c>
      <c r="B242" s="9">
        <v>1.22136061030515</v>
      </c>
      <c r="C242">
        <f t="shared" si="10"/>
        <v>245457766912180.47</v>
      </c>
      <c r="D242">
        <f t="shared" si="11"/>
        <v>245.45776691218046</v>
      </c>
      <c r="H242" s="9">
        <v>9005</v>
      </c>
    </row>
    <row r="243" spans="1:8">
      <c r="A243">
        <f t="shared" si="9"/>
        <v>1.22168849424712E-6</v>
      </c>
      <c r="B243" s="9">
        <v>1.22168849424712</v>
      </c>
      <c r="C243">
        <f t="shared" si="10"/>
        <v>245391889513333.47</v>
      </c>
      <c r="D243">
        <f t="shared" si="11"/>
        <v>245.39188951333347</v>
      </c>
      <c r="H243" s="9">
        <v>9005</v>
      </c>
    </row>
    <row r="244" spans="1:8">
      <c r="A244">
        <f t="shared" si="9"/>
        <v>1.22201637818909E-6</v>
      </c>
      <c r="B244" s="9">
        <v>1.22201637818909</v>
      </c>
      <c r="C244">
        <f t="shared" si="10"/>
        <v>245326047466125.94</v>
      </c>
      <c r="D244">
        <f t="shared" si="11"/>
        <v>245.32604746612594</v>
      </c>
      <c r="H244" s="9">
        <v>9005</v>
      </c>
    </row>
    <row r="245" spans="1:8">
      <c r="A245">
        <f t="shared" si="9"/>
        <v>1.2223442621310701E-6</v>
      </c>
      <c r="B245" s="9">
        <v>1.2223442621310701</v>
      </c>
      <c r="C245">
        <f t="shared" si="10"/>
        <v>245260240742107.5</v>
      </c>
      <c r="D245">
        <f t="shared" si="11"/>
        <v>245.2602407421075</v>
      </c>
      <c r="H245" s="9">
        <v>9005</v>
      </c>
    </row>
    <row r="246" spans="1:8">
      <c r="A246">
        <f t="shared" si="9"/>
        <v>1.22267214607304E-6</v>
      </c>
      <c r="B246" s="9">
        <v>1.2226721460730401</v>
      </c>
      <c r="C246">
        <f t="shared" si="10"/>
        <v>245194469312864.34</v>
      </c>
      <c r="D246">
        <f t="shared" si="11"/>
        <v>245.19446931286436</v>
      </c>
      <c r="H246" s="9">
        <v>9005</v>
      </c>
    </row>
    <row r="247" spans="1:8">
      <c r="A247">
        <f t="shared" si="9"/>
        <v>1.2230000300150099E-6</v>
      </c>
      <c r="B247" s="9">
        <v>1.2230000300150099</v>
      </c>
      <c r="C247">
        <f t="shared" si="10"/>
        <v>245128733150007.06</v>
      </c>
      <c r="D247">
        <f t="shared" si="11"/>
        <v>245.12873315000706</v>
      </c>
      <c r="H247" s="9">
        <v>9005</v>
      </c>
    </row>
    <row r="248" spans="1:8">
      <c r="A248">
        <f t="shared" si="9"/>
        <v>1.2233279139569799E-6</v>
      </c>
      <c r="B248" s="9">
        <v>1.2233279139569799</v>
      </c>
      <c r="C248">
        <f t="shared" si="10"/>
        <v>245063032225178.69</v>
      </c>
      <c r="D248">
        <f t="shared" si="11"/>
        <v>245.06303222517869</v>
      </c>
      <c r="H248" s="9">
        <v>9005</v>
      </c>
    </row>
    <row r="249" spans="1:8">
      <c r="A249">
        <f t="shared" si="9"/>
        <v>1.22365579789895E-6</v>
      </c>
      <c r="B249" s="9">
        <v>1.22365579789895</v>
      </c>
      <c r="C249">
        <f t="shared" si="10"/>
        <v>244997366510052.69</v>
      </c>
      <c r="D249">
        <f t="shared" si="11"/>
        <v>244.9973665100527</v>
      </c>
      <c r="H249" s="9">
        <v>9005</v>
      </c>
    </row>
    <row r="250" spans="1:8">
      <c r="A250">
        <f t="shared" si="9"/>
        <v>1.22398368184092E-6</v>
      </c>
      <c r="B250" s="9">
        <v>1.22398368184092</v>
      </c>
      <c r="C250">
        <f t="shared" si="10"/>
        <v>244931735976332.84</v>
      </c>
      <c r="D250">
        <f t="shared" si="11"/>
        <v>244.93173597633285</v>
      </c>
      <c r="H250" s="9">
        <v>9005</v>
      </c>
    </row>
    <row r="251" spans="1:8">
      <c r="A251">
        <f t="shared" si="9"/>
        <v>1.2243115657828901E-6</v>
      </c>
      <c r="B251" s="9">
        <v>1.22431156578289</v>
      </c>
      <c r="C251">
        <f t="shared" si="10"/>
        <v>244866140595753.28</v>
      </c>
      <c r="D251">
        <f t="shared" si="11"/>
        <v>244.86614059575328</v>
      </c>
      <c r="H251" s="9">
        <v>9005</v>
      </c>
    </row>
    <row r="252" spans="1:8">
      <c r="A252">
        <f t="shared" si="9"/>
        <v>1.22463944972486E-6</v>
      </c>
      <c r="B252" s="9">
        <v>1.2246394497248601</v>
      </c>
      <c r="C252">
        <f t="shared" si="10"/>
        <v>244800580340078.41</v>
      </c>
      <c r="D252">
        <f t="shared" si="11"/>
        <v>244.8005803400784</v>
      </c>
      <c r="H252" s="9">
        <v>9005</v>
      </c>
    </row>
    <row r="253" spans="1:8">
      <c r="A253">
        <f t="shared" si="9"/>
        <v>1.2249673336668302E-6</v>
      </c>
      <c r="B253" s="9">
        <v>1.2249673336668301</v>
      </c>
      <c r="C253">
        <f t="shared" si="10"/>
        <v>244735055181102.78</v>
      </c>
      <c r="D253">
        <f t="shared" si="11"/>
        <v>244.73505518110278</v>
      </c>
      <c r="H253" s="9">
        <v>9112</v>
      </c>
    </row>
    <row r="254" spans="1:8">
      <c r="A254">
        <f t="shared" si="9"/>
        <v>1.2252952176087999E-6</v>
      </c>
      <c r="B254" s="9">
        <v>1.2252952176087999</v>
      </c>
      <c r="C254">
        <f t="shared" si="10"/>
        <v>244669565090651.28</v>
      </c>
      <c r="D254">
        <f t="shared" si="11"/>
        <v>244.66956509065128</v>
      </c>
      <c r="H254" s="9">
        <v>9112</v>
      </c>
    </row>
    <row r="255" spans="1:8">
      <c r="A255">
        <f t="shared" si="9"/>
        <v>1.22562310155078E-6</v>
      </c>
      <c r="B255" s="9">
        <v>1.2256231015507799</v>
      </c>
      <c r="C255">
        <f t="shared" si="10"/>
        <v>244604110040576.78</v>
      </c>
      <c r="D255">
        <f t="shared" si="11"/>
        <v>244.60411004057678</v>
      </c>
      <c r="H255" s="9">
        <v>9112</v>
      </c>
    </row>
    <row r="256" spans="1:8">
      <c r="A256">
        <f t="shared" si="9"/>
        <v>1.2259509854927499E-6</v>
      </c>
      <c r="B256" s="9">
        <v>1.2259509854927499</v>
      </c>
      <c r="C256">
        <f t="shared" si="10"/>
        <v>244538690002768.41</v>
      </c>
      <c r="D256">
        <f t="shared" si="11"/>
        <v>244.53869000276842</v>
      </c>
      <c r="H256" s="9">
        <v>9112</v>
      </c>
    </row>
    <row r="257" spans="1:8">
      <c r="A257">
        <f t="shared" si="9"/>
        <v>1.2262788694347199E-6</v>
      </c>
      <c r="B257" s="9">
        <v>1.22627886943472</v>
      </c>
      <c r="C257">
        <f t="shared" si="10"/>
        <v>244473304949139.25</v>
      </c>
      <c r="D257">
        <f t="shared" si="11"/>
        <v>244.47330494913925</v>
      </c>
      <c r="H257" s="9">
        <v>9112</v>
      </c>
    </row>
    <row r="258" spans="1:8">
      <c r="A258">
        <f t="shared" si="9"/>
        <v>1.22660675337669E-6</v>
      </c>
      <c r="B258" s="9">
        <v>1.22660675337669</v>
      </c>
      <c r="C258">
        <f t="shared" si="10"/>
        <v>244407954851634.47</v>
      </c>
      <c r="D258">
        <f t="shared" si="11"/>
        <v>244.40795485163446</v>
      </c>
      <c r="H258" s="9">
        <v>9112</v>
      </c>
    </row>
    <row r="259" spans="1:8">
      <c r="A259">
        <f t="shared" si="9"/>
        <v>1.22693463731866E-6</v>
      </c>
      <c r="B259" s="9">
        <v>1.22693463731866</v>
      </c>
      <c r="C259">
        <f t="shared" si="10"/>
        <v>244342639682229.28</v>
      </c>
      <c r="D259">
        <f t="shared" si="11"/>
        <v>244.34263968222928</v>
      </c>
      <c r="H259" s="9">
        <v>9112</v>
      </c>
    </row>
    <row r="260" spans="1:8">
      <c r="A260">
        <f t="shared" si="9"/>
        <v>1.2272625212606301E-6</v>
      </c>
      <c r="B260" s="9">
        <v>1.2272625212606301</v>
      </c>
      <c r="C260">
        <f t="shared" si="10"/>
        <v>244277359412928.72</v>
      </c>
      <c r="D260">
        <f t="shared" si="11"/>
        <v>244.27735941292872</v>
      </c>
      <c r="H260" s="9">
        <v>9112</v>
      </c>
    </row>
    <row r="261" spans="1:8">
      <c r="A261">
        <f t="shared" si="9"/>
        <v>1.2275904052026E-6</v>
      </c>
      <c r="B261" s="9">
        <v>1.2275904052026001</v>
      </c>
      <c r="C261">
        <f t="shared" si="10"/>
        <v>244212114015767.81</v>
      </c>
      <c r="D261">
        <f t="shared" si="11"/>
        <v>244.21211401576781</v>
      </c>
      <c r="H261" s="9">
        <v>9112</v>
      </c>
    </row>
    <row r="262" spans="1:8">
      <c r="A262">
        <f t="shared" si="9"/>
        <v>1.22791828914457E-6</v>
      </c>
      <c r="B262" s="9">
        <v>1.2279182891445699</v>
      </c>
      <c r="C262">
        <f t="shared" si="10"/>
        <v>244146903462811.53</v>
      </c>
      <c r="D262">
        <f t="shared" si="11"/>
        <v>244.14690346281154</v>
      </c>
      <c r="H262" s="9">
        <v>9112</v>
      </c>
    </row>
    <row r="263" spans="1:8">
      <c r="A263">
        <f t="shared" ref="A263:A326" si="12">B263/1000000</f>
        <v>1.2282461730865399E-6</v>
      </c>
      <c r="B263" s="9">
        <v>1.2282461730865399</v>
      </c>
      <c r="C263">
        <f t="shared" ref="C263:C326" si="13">wavelength_to_freq(B263)</f>
        <v>244081727726154.44</v>
      </c>
      <c r="D263">
        <f t="shared" ref="D263:D326" si="14">C263/1000000000000</f>
        <v>244.08172772615444</v>
      </c>
      <c r="H263" s="9">
        <v>9112</v>
      </c>
    </row>
    <row r="264" spans="1:8">
      <c r="A264">
        <f t="shared" si="12"/>
        <v>1.2285740570285101E-6</v>
      </c>
      <c r="B264" s="9">
        <v>1.22857405702851</v>
      </c>
      <c r="C264">
        <f t="shared" si="13"/>
        <v>244016586777921.09</v>
      </c>
      <c r="D264">
        <f t="shared" si="14"/>
        <v>244.01658677792111</v>
      </c>
      <c r="H264" s="9">
        <v>9129</v>
      </c>
    </row>
    <row r="265" spans="1:8">
      <c r="A265">
        <f t="shared" si="12"/>
        <v>1.22890194097049E-6</v>
      </c>
      <c r="B265" s="9">
        <v>1.22890194097049</v>
      </c>
      <c r="C265">
        <f t="shared" si="13"/>
        <v>243951480590263.81</v>
      </c>
      <c r="D265">
        <f t="shared" si="14"/>
        <v>243.9514805902638</v>
      </c>
      <c r="H265" s="9">
        <v>9129</v>
      </c>
    </row>
    <row r="266" spans="1:8">
      <c r="A266">
        <f t="shared" si="12"/>
        <v>1.2292298249124601E-6</v>
      </c>
      <c r="B266" s="9">
        <v>1.22922982491246</v>
      </c>
      <c r="C266">
        <f t="shared" si="13"/>
        <v>243886409135370.44</v>
      </c>
      <c r="D266">
        <f t="shared" si="14"/>
        <v>243.88640913537043</v>
      </c>
      <c r="H266" s="9">
        <v>9129</v>
      </c>
    </row>
    <row r="267" spans="1:8">
      <c r="A267">
        <f t="shared" si="12"/>
        <v>1.22955770885443E-6</v>
      </c>
      <c r="B267" s="9">
        <v>1.2295577088544301</v>
      </c>
      <c r="C267">
        <f t="shared" si="13"/>
        <v>243821372385452.69</v>
      </c>
      <c r="D267">
        <f t="shared" si="14"/>
        <v>243.82137238545269</v>
      </c>
      <c r="H267" s="9">
        <v>9129</v>
      </c>
    </row>
    <row r="268" spans="1:8">
      <c r="A268">
        <f t="shared" si="12"/>
        <v>1.2298855927964002E-6</v>
      </c>
      <c r="B268" s="9">
        <v>1.2298855927964001</v>
      </c>
      <c r="C268">
        <f t="shared" si="13"/>
        <v>243756370312753.78</v>
      </c>
      <c r="D268">
        <f t="shared" si="14"/>
        <v>243.75637031275377</v>
      </c>
      <c r="H268" s="9">
        <v>9129</v>
      </c>
    </row>
    <row r="269" spans="1:8">
      <c r="A269">
        <f t="shared" si="12"/>
        <v>1.2302134767383699E-6</v>
      </c>
      <c r="B269" s="9">
        <v>1.2302134767383699</v>
      </c>
      <c r="C269">
        <f t="shared" si="13"/>
        <v>243691402889546.62</v>
      </c>
      <c r="D269">
        <f t="shared" si="14"/>
        <v>243.69140288954662</v>
      </c>
      <c r="H269" s="9">
        <v>9129</v>
      </c>
    </row>
    <row r="270" spans="1:8">
      <c r="A270">
        <f t="shared" si="12"/>
        <v>1.2305413606803398E-6</v>
      </c>
      <c r="B270" s="9">
        <v>1.2305413606803399</v>
      </c>
      <c r="C270">
        <f t="shared" si="13"/>
        <v>243626470088133.56</v>
      </c>
      <c r="D270">
        <f t="shared" si="14"/>
        <v>243.62647008813357</v>
      </c>
      <c r="H270" s="9">
        <v>9141</v>
      </c>
    </row>
    <row r="271" spans="1:8">
      <c r="A271">
        <f t="shared" si="12"/>
        <v>1.23086924462231E-6</v>
      </c>
      <c r="B271" s="9">
        <v>1.23086924462231</v>
      </c>
      <c r="C271">
        <f t="shared" si="13"/>
        <v>243561571880846.53</v>
      </c>
      <c r="D271">
        <f t="shared" si="14"/>
        <v>243.56157188084654</v>
      </c>
      <c r="H271" s="9">
        <v>9141</v>
      </c>
    </row>
    <row r="272" spans="1:8">
      <c r="A272">
        <f t="shared" si="12"/>
        <v>1.2311971285642799E-6</v>
      </c>
      <c r="B272" s="9">
        <v>1.23119712856428</v>
      </c>
      <c r="C272">
        <f t="shared" si="13"/>
        <v>243496708240046.91</v>
      </c>
      <c r="D272">
        <f t="shared" si="14"/>
        <v>243.4967082400469</v>
      </c>
      <c r="H272" s="9">
        <v>9141</v>
      </c>
    </row>
    <row r="273" spans="1:8">
      <c r="A273">
        <f t="shared" si="12"/>
        <v>1.2315250125062501E-6</v>
      </c>
      <c r="B273" s="9">
        <v>1.23152501250625</v>
      </c>
      <c r="C273">
        <f t="shared" si="13"/>
        <v>243431879138125.53</v>
      </c>
      <c r="D273">
        <f t="shared" si="14"/>
        <v>243.43187913812554</v>
      </c>
      <c r="H273" s="9">
        <v>9141</v>
      </c>
    </row>
    <row r="274" spans="1:8">
      <c r="A274">
        <f t="shared" si="12"/>
        <v>1.23185289644822E-6</v>
      </c>
      <c r="B274" s="9">
        <v>1.23185289644822</v>
      </c>
      <c r="C274">
        <f t="shared" si="13"/>
        <v>243367084547502.66</v>
      </c>
      <c r="D274">
        <f t="shared" si="14"/>
        <v>243.36708454750266</v>
      </c>
      <c r="H274" s="9">
        <v>9141</v>
      </c>
    </row>
    <row r="275" spans="1:8">
      <c r="A275">
        <f t="shared" si="12"/>
        <v>1.2321807803902001E-6</v>
      </c>
      <c r="B275" s="9">
        <v>1.2321807803902001</v>
      </c>
      <c r="C275">
        <f t="shared" si="13"/>
        <v>243302324440625.84</v>
      </c>
      <c r="D275">
        <f t="shared" si="14"/>
        <v>243.30232444062585</v>
      </c>
      <c r="H275" s="9">
        <v>9141</v>
      </c>
    </row>
    <row r="276" spans="1:8">
      <c r="A276">
        <f t="shared" si="12"/>
        <v>1.23250866433217E-6</v>
      </c>
      <c r="B276" s="9">
        <v>1.2325086643321701</v>
      </c>
      <c r="C276">
        <f t="shared" si="13"/>
        <v>243237598789977.94</v>
      </c>
      <c r="D276">
        <f t="shared" si="14"/>
        <v>243.23759878997794</v>
      </c>
      <c r="H276" s="9">
        <v>9141</v>
      </c>
    </row>
    <row r="277" spans="1:8">
      <c r="A277">
        <f t="shared" si="12"/>
        <v>1.23283654827414E-6</v>
      </c>
      <c r="B277" s="9">
        <v>1.2328365482741399</v>
      </c>
      <c r="C277">
        <f t="shared" si="13"/>
        <v>243172907568065.22</v>
      </c>
      <c r="D277">
        <f t="shared" si="14"/>
        <v>243.17290756806523</v>
      </c>
      <c r="H277" s="9">
        <v>9141</v>
      </c>
    </row>
    <row r="278" spans="1:8">
      <c r="A278">
        <f t="shared" si="12"/>
        <v>1.2331644322161099E-6</v>
      </c>
      <c r="B278" s="9">
        <v>1.2331644322161099</v>
      </c>
      <c r="C278">
        <f t="shared" si="13"/>
        <v>243108250747424.97</v>
      </c>
      <c r="D278">
        <f t="shared" si="14"/>
        <v>243.10825074742496</v>
      </c>
      <c r="H278" s="9">
        <v>9199</v>
      </c>
    </row>
    <row r="279" spans="1:8">
      <c r="A279">
        <f t="shared" si="12"/>
        <v>1.2334923161580801E-6</v>
      </c>
      <c r="B279" s="9">
        <v>1.23349231615808</v>
      </c>
      <c r="C279">
        <f t="shared" si="13"/>
        <v>243043628300623.87</v>
      </c>
      <c r="D279">
        <f t="shared" si="14"/>
        <v>243.04362830062388</v>
      </c>
      <c r="H279" s="9">
        <v>9199</v>
      </c>
    </row>
    <row r="280" spans="1:8">
      <c r="A280">
        <f t="shared" si="12"/>
        <v>1.23382020010005E-6</v>
      </c>
      <c r="B280" s="9">
        <v>1.23382020010005</v>
      </c>
      <c r="C280">
        <f t="shared" si="13"/>
        <v>242979040200257.66</v>
      </c>
      <c r="D280">
        <f t="shared" si="14"/>
        <v>242.97904020025766</v>
      </c>
      <c r="H280" s="9">
        <v>9199</v>
      </c>
    </row>
    <row r="281" spans="1:8">
      <c r="A281">
        <f t="shared" si="12"/>
        <v>1.2341480840420199E-6</v>
      </c>
      <c r="B281" s="9">
        <v>1.23414808404202</v>
      </c>
      <c r="C281">
        <f t="shared" si="13"/>
        <v>242914486418951.25</v>
      </c>
      <c r="D281">
        <f t="shared" si="14"/>
        <v>242.91448641895124</v>
      </c>
      <c r="H281" s="9">
        <v>9199</v>
      </c>
    </row>
    <row r="282" spans="1:8">
      <c r="A282">
        <f t="shared" si="12"/>
        <v>1.2344759679839901E-6</v>
      </c>
      <c r="B282" s="9">
        <v>1.2344759679839901</v>
      </c>
      <c r="C282">
        <f t="shared" si="13"/>
        <v>242849966929358.66</v>
      </c>
      <c r="D282">
        <f t="shared" si="14"/>
        <v>242.84996692935866</v>
      </c>
      <c r="H282" s="9">
        <v>9199</v>
      </c>
    </row>
    <row r="283" spans="1:8">
      <c r="A283">
        <f t="shared" si="12"/>
        <v>1.23480385192596E-6</v>
      </c>
      <c r="B283" s="9">
        <v>1.2348038519259601</v>
      </c>
      <c r="C283">
        <f t="shared" si="13"/>
        <v>242785481704162.84</v>
      </c>
      <c r="D283">
        <f t="shared" si="14"/>
        <v>242.78548170416283</v>
      </c>
      <c r="H283" s="9">
        <v>9199</v>
      </c>
    </row>
    <row r="284" spans="1:8">
      <c r="A284">
        <f t="shared" si="12"/>
        <v>1.23513173586793E-6</v>
      </c>
      <c r="B284" s="9">
        <v>1.2351317358679299</v>
      </c>
      <c r="C284">
        <f t="shared" si="13"/>
        <v>242721030716075.94</v>
      </c>
      <c r="D284">
        <f t="shared" si="14"/>
        <v>242.72103071607594</v>
      </c>
      <c r="H284" s="9">
        <v>9199</v>
      </c>
    </row>
    <row r="285" spans="1:8">
      <c r="A285">
        <f t="shared" si="12"/>
        <v>1.2354596198099098E-6</v>
      </c>
      <c r="B285" s="9">
        <v>1.2354596198099099</v>
      </c>
      <c r="C285">
        <f t="shared" si="13"/>
        <v>242656613937836.84</v>
      </c>
      <c r="D285">
        <f t="shared" si="14"/>
        <v>242.65661393783685</v>
      </c>
      <c r="H285" s="9">
        <v>9252</v>
      </c>
    </row>
    <row r="286" spans="1:8">
      <c r="A286">
        <f t="shared" si="12"/>
        <v>1.23578750375188E-6</v>
      </c>
      <c r="B286" s="9">
        <v>1.23578750375188</v>
      </c>
      <c r="C286">
        <f t="shared" si="13"/>
        <v>242592231342219.5</v>
      </c>
      <c r="D286">
        <f t="shared" si="14"/>
        <v>242.59223134221949</v>
      </c>
      <c r="H286" s="9">
        <v>9252</v>
      </c>
    </row>
    <row r="287" spans="1:8">
      <c r="A287">
        <f t="shared" si="12"/>
        <v>1.2361153876938499E-6</v>
      </c>
      <c r="B287" s="9">
        <v>1.23611538769385</v>
      </c>
      <c r="C287">
        <f t="shared" si="13"/>
        <v>242527882902020.72</v>
      </c>
      <c r="D287">
        <f t="shared" si="14"/>
        <v>242.52788290202071</v>
      </c>
      <c r="H287" s="9">
        <v>9294</v>
      </c>
    </row>
    <row r="288" spans="1:8">
      <c r="A288">
        <f t="shared" si="12"/>
        <v>1.2364432716358201E-6</v>
      </c>
      <c r="B288" s="9">
        <v>1.23644327163582</v>
      </c>
      <c r="C288">
        <f t="shared" si="13"/>
        <v>242463568590068.22</v>
      </c>
      <c r="D288">
        <f t="shared" si="14"/>
        <v>242.46356859006821</v>
      </c>
      <c r="H288" s="9">
        <v>9294</v>
      </c>
    </row>
    <row r="289" spans="1:8">
      <c r="A289">
        <f t="shared" si="12"/>
        <v>1.23677115557779E-6</v>
      </c>
      <c r="B289" s="9">
        <v>1.23677115557779</v>
      </c>
      <c r="C289">
        <f t="shared" si="13"/>
        <v>242399288379218.47</v>
      </c>
      <c r="D289">
        <f t="shared" si="14"/>
        <v>242.39928837921846</v>
      </c>
      <c r="H289" s="9">
        <v>9294</v>
      </c>
    </row>
    <row r="290" spans="1:8">
      <c r="A290">
        <f t="shared" si="12"/>
        <v>1.2370990395197602E-6</v>
      </c>
      <c r="B290" s="9">
        <v>1.2370990395197601</v>
      </c>
      <c r="C290">
        <f t="shared" si="13"/>
        <v>242335042242356.72</v>
      </c>
      <c r="D290">
        <f t="shared" si="14"/>
        <v>242.33504224235671</v>
      </c>
      <c r="H290" s="9">
        <v>9294</v>
      </c>
    </row>
    <row r="291" spans="1:8">
      <c r="A291">
        <f t="shared" si="12"/>
        <v>1.2374269234617301E-6</v>
      </c>
      <c r="B291" s="9">
        <v>1.2374269234617301</v>
      </c>
      <c r="C291">
        <f t="shared" si="13"/>
        <v>242270830152397.03</v>
      </c>
      <c r="D291">
        <f t="shared" si="14"/>
        <v>242.27083015239702</v>
      </c>
      <c r="H291" s="9">
        <v>9294</v>
      </c>
    </row>
    <row r="292" spans="1:8">
      <c r="A292">
        <f t="shared" si="12"/>
        <v>1.2377548074036998E-6</v>
      </c>
      <c r="B292" s="9">
        <v>1.2377548074036999</v>
      </c>
      <c r="C292">
        <f t="shared" si="13"/>
        <v>242206652082282.06</v>
      </c>
      <c r="D292">
        <f t="shared" si="14"/>
        <v>242.20665208228206</v>
      </c>
      <c r="H292" s="9">
        <v>9294</v>
      </c>
    </row>
    <row r="293" spans="1:8">
      <c r="A293">
        <f t="shared" si="12"/>
        <v>1.23808269134567E-6</v>
      </c>
      <c r="B293" s="9">
        <v>1.23808269134567</v>
      </c>
      <c r="C293">
        <f t="shared" si="13"/>
        <v>242142508004983.19</v>
      </c>
      <c r="D293">
        <f t="shared" si="14"/>
        <v>242.1425080049832</v>
      </c>
      <c r="H293" s="9">
        <v>9294</v>
      </c>
    </row>
    <row r="294" spans="1:8">
      <c r="A294">
        <f t="shared" si="12"/>
        <v>1.2384105752876399E-6</v>
      </c>
      <c r="B294" s="9">
        <v>1.23841057528764</v>
      </c>
      <c r="C294">
        <f t="shared" si="13"/>
        <v>242078397893500.37</v>
      </c>
      <c r="D294">
        <f t="shared" si="14"/>
        <v>242.07839789350038</v>
      </c>
      <c r="H294" s="9">
        <v>9294</v>
      </c>
    </row>
    <row r="295" spans="1:8">
      <c r="A295">
        <f t="shared" si="12"/>
        <v>1.23873845922961E-6</v>
      </c>
      <c r="B295" s="9">
        <v>1.23873845922961</v>
      </c>
      <c r="C295">
        <f t="shared" si="13"/>
        <v>242014321720862.22</v>
      </c>
      <c r="D295">
        <f t="shared" si="14"/>
        <v>242.01432172086223</v>
      </c>
      <c r="H295" s="9">
        <v>9480</v>
      </c>
    </row>
    <row r="296" spans="1:8">
      <c r="A296">
        <f t="shared" si="12"/>
        <v>1.2390663431715899E-6</v>
      </c>
      <c r="B296" s="9">
        <v>1.23906634317159</v>
      </c>
      <c r="C296">
        <f t="shared" si="13"/>
        <v>241950279460123.91</v>
      </c>
      <c r="D296">
        <f t="shared" si="14"/>
        <v>241.95027946012391</v>
      </c>
      <c r="H296" s="9">
        <v>9480</v>
      </c>
    </row>
    <row r="297" spans="1:8">
      <c r="A297">
        <f t="shared" si="12"/>
        <v>1.2393942271135601E-6</v>
      </c>
      <c r="B297" s="9">
        <v>1.2393942271135601</v>
      </c>
      <c r="C297">
        <f t="shared" si="13"/>
        <v>241886271084374.97</v>
      </c>
      <c r="D297">
        <f t="shared" si="14"/>
        <v>241.88627108437498</v>
      </c>
      <c r="H297" s="9">
        <v>9480</v>
      </c>
    </row>
    <row r="298" spans="1:8">
      <c r="A298">
        <f t="shared" si="12"/>
        <v>1.23972211105553E-6</v>
      </c>
      <c r="B298" s="9">
        <v>1.2397221110555301</v>
      </c>
      <c r="C298">
        <f t="shared" si="13"/>
        <v>241822296566727.59</v>
      </c>
      <c r="D298">
        <f t="shared" si="14"/>
        <v>241.8222965667276</v>
      </c>
      <c r="H298" s="9">
        <v>9480</v>
      </c>
    </row>
    <row r="299" spans="1:8">
      <c r="A299">
        <f t="shared" si="12"/>
        <v>1.2400499949975E-6</v>
      </c>
      <c r="B299" s="9">
        <v>1.2400499949974999</v>
      </c>
      <c r="C299">
        <f t="shared" si="13"/>
        <v>241758355880324.34</v>
      </c>
      <c r="D299">
        <f t="shared" si="14"/>
        <v>241.75835588032433</v>
      </c>
      <c r="H299" s="9">
        <v>9480</v>
      </c>
    </row>
    <row r="300" spans="1:8">
      <c r="A300">
        <f t="shared" si="12"/>
        <v>1.2403778789394699E-6</v>
      </c>
      <c r="B300" s="9">
        <v>1.2403778789394699</v>
      </c>
      <c r="C300">
        <f t="shared" si="13"/>
        <v>241694448998336.09</v>
      </c>
      <c r="D300">
        <f t="shared" si="14"/>
        <v>241.6944489983361</v>
      </c>
      <c r="H300" s="9">
        <v>9480</v>
      </c>
    </row>
    <row r="301" spans="1:8">
      <c r="A301">
        <f t="shared" si="12"/>
        <v>1.24070576288144E-6</v>
      </c>
      <c r="B301" s="9">
        <v>1.24070576288144</v>
      </c>
      <c r="C301">
        <f t="shared" si="13"/>
        <v>241630575893962.16</v>
      </c>
      <c r="D301">
        <f t="shared" si="14"/>
        <v>241.63057589396215</v>
      </c>
      <c r="H301" s="9">
        <v>9480</v>
      </c>
    </row>
    <row r="302" spans="1:8">
      <c r="A302">
        <f t="shared" si="12"/>
        <v>1.24103364682341E-6</v>
      </c>
      <c r="B302" s="9">
        <v>1.24103364682341</v>
      </c>
      <c r="C302">
        <f t="shared" si="13"/>
        <v>241566736540430.22</v>
      </c>
      <c r="D302">
        <f t="shared" si="14"/>
        <v>241.56673654043021</v>
      </c>
      <c r="H302" s="9">
        <v>9480</v>
      </c>
    </row>
    <row r="303" spans="1:8">
      <c r="A303">
        <f t="shared" si="12"/>
        <v>1.2413615307653801E-6</v>
      </c>
      <c r="B303" s="9">
        <v>1.24136153076538</v>
      </c>
      <c r="C303">
        <f t="shared" si="13"/>
        <v>241502930910996.16</v>
      </c>
      <c r="D303">
        <f t="shared" si="14"/>
        <v>241.50293091099616</v>
      </c>
      <c r="H303" s="9">
        <v>9480</v>
      </c>
    </row>
    <row r="304" spans="1:8">
      <c r="A304">
        <f t="shared" si="12"/>
        <v>1.2416894147073501E-6</v>
      </c>
      <c r="B304" s="9">
        <v>1.2416894147073501</v>
      </c>
      <c r="C304">
        <f t="shared" si="13"/>
        <v>241439158978944.16</v>
      </c>
      <c r="D304">
        <f t="shared" si="14"/>
        <v>241.43915897894416</v>
      </c>
      <c r="H304" s="9">
        <v>9480</v>
      </c>
    </row>
    <row r="305" spans="1:8">
      <c r="A305">
        <f t="shared" si="12"/>
        <v>1.24201729864932E-6</v>
      </c>
      <c r="B305" s="9">
        <v>1.2420172986493201</v>
      </c>
      <c r="C305">
        <f t="shared" si="13"/>
        <v>241375420717586.56</v>
      </c>
      <c r="D305">
        <f t="shared" si="14"/>
        <v>241.37542071758656</v>
      </c>
      <c r="H305" s="9">
        <v>9480</v>
      </c>
    </row>
    <row r="306" spans="1:8">
      <c r="A306">
        <f t="shared" si="12"/>
        <v>1.2423451825912999E-6</v>
      </c>
      <c r="B306" s="9">
        <v>1.2423451825912999</v>
      </c>
      <c r="C306">
        <f t="shared" si="13"/>
        <v>241311716100262.06</v>
      </c>
      <c r="D306">
        <f t="shared" si="14"/>
        <v>241.31171610026206</v>
      </c>
      <c r="H306" s="9">
        <v>9480</v>
      </c>
    </row>
    <row r="307" spans="1:8">
      <c r="A307">
        <f t="shared" si="12"/>
        <v>1.2426730665332698E-6</v>
      </c>
      <c r="B307" s="9">
        <v>1.2426730665332699</v>
      </c>
      <c r="C307">
        <f t="shared" si="13"/>
        <v>241248045100343.12</v>
      </c>
      <c r="D307">
        <f t="shared" si="14"/>
        <v>241.24804510034312</v>
      </c>
      <c r="H307" s="9">
        <v>9480</v>
      </c>
    </row>
    <row r="308" spans="1:8">
      <c r="A308">
        <f t="shared" si="12"/>
        <v>1.24300095047524E-6</v>
      </c>
      <c r="B308" s="9">
        <v>1.24300095047524</v>
      </c>
      <c r="C308">
        <f t="shared" si="13"/>
        <v>241184407691224.62</v>
      </c>
      <c r="D308">
        <f t="shared" si="14"/>
        <v>241.18440769122464</v>
      </c>
      <c r="H308" s="9">
        <v>9525</v>
      </c>
    </row>
    <row r="309" spans="1:8">
      <c r="A309">
        <f t="shared" si="12"/>
        <v>1.2433288344172099E-6</v>
      </c>
      <c r="B309" s="9">
        <v>1.24332883441721</v>
      </c>
      <c r="C309">
        <f t="shared" si="13"/>
        <v>241120803846331.44</v>
      </c>
      <c r="D309">
        <f t="shared" si="14"/>
        <v>241.12080384633143</v>
      </c>
      <c r="H309" s="9">
        <v>9525</v>
      </c>
    </row>
    <row r="310" spans="1:8">
      <c r="A310">
        <f t="shared" si="12"/>
        <v>1.24365671835918E-6</v>
      </c>
      <c r="B310" s="9">
        <v>1.24365671835918</v>
      </c>
      <c r="C310">
        <f t="shared" si="13"/>
        <v>241057233539116.44</v>
      </c>
      <c r="D310">
        <f t="shared" si="14"/>
        <v>241.05723353911642</v>
      </c>
      <c r="H310" s="9">
        <v>9525</v>
      </c>
    </row>
    <row r="311" spans="1:8">
      <c r="A311">
        <f t="shared" si="12"/>
        <v>1.24398460230115E-6</v>
      </c>
      <c r="B311" s="9">
        <v>1.24398460230115</v>
      </c>
      <c r="C311">
        <f t="shared" si="13"/>
        <v>240993696743060.44</v>
      </c>
      <c r="D311">
        <f t="shared" si="14"/>
        <v>240.99369674306044</v>
      </c>
      <c r="H311" s="9">
        <v>9525</v>
      </c>
    </row>
    <row r="312" spans="1:8">
      <c r="A312">
        <f t="shared" si="12"/>
        <v>1.2443124862431201E-6</v>
      </c>
      <c r="B312" s="9">
        <v>1.2443124862431201</v>
      </c>
      <c r="C312">
        <f t="shared" si="13"/>
        <v>240930193431672.31</v>
      </c>
      <c r="D312">
        <f t="shared" si="14"/>
        <v>240.93019343167231</v>
      </c>
      <c r="H312" s="9">
        <v>9525</v>
      </c>
    </row>
    <row r="313" spans="1:8">
      <c r="A313">
        <f t="shared" si="12"/>
        <v>1.2446403701850901E-6</v>
      </c>
      <c r="B313" s="9">
        <v>1.2446403701850901</v>
      </c>
      <c r="C313">
        <f t="shared" si="13"/>
        <v>240866723578488.75</v>
      </c>
      <c r="D313">
        <f t="shared" si="14"/>
        <v>240.86672357848875</v>
      </c>
      <c r="H313" s="9">
        <v>9525</v>
      </c>
    </row>
    <row r="314" spans="1:8">
      <c r="A314">
        <f t="shared" si="12"/>
        <v>1.24496825412706E-6</v>
      </c>
      <c r="B314" s="9">
        <v>1.2449682541270599</v>
      </c>
      <c r="C314">
        <f t="shared" si="13"/>
        <v>240803287157074.41</v>
      </c>
      <c r="D314">
        <f t="shared" si="14"/>
        <v>240.80328715707441</v>
      </c>
      <c r="H314" s="9">
        <v>9525</v>
      </c>
    </row>
    <row r="315" spans="1:8">
      <c r="A315">
        <f t="shared" si="12"/>
        <v>1.2452961380690299E-6</v>
      </c>
      <c r="B315" s="9">
        <v>1.2452961380690299</v>
      </c>
      <c r="C315">
        <f t="shared" si="13"/>
        <v>240739884141021.69</v>
      </c>
      <c r="D315">
        <f t="shared" si="14"/>
        <v>240.73988414102169</v>
      </c>
      <c r="H315" s="9">
        <v>9685</v>
      </c>
    </row>
    <row r="316" spans="1:8">
      <c r="A316">
        <f t="shared" si="12"/>
        <v>1.24562402201101E-6</v>
      </c>
      <c r="B316" s="9">
        <v>1.24562402201101</v>
      </c>
      <c r="C316">
        <f t="shared" si="13"/>
        <v>240676514503948.91</v>
      </c>
      <c r="D316">
        <f t="shared" si="14"/>
        <v>240.67651450394891</v>
      </c>
      <c r="H316" s="9">
        <v>9685</v>
      </c>
    </row>
    <row r="317" spans="1:8">
      <c r="A317">
        <f t="shared" si="12"/>
        <v>1.24595190595298E-6</v>
      </c>
      <c r="B317" s="9">
        <v>1.24595190595298</v>
      </c>
      <c r="C317">
        <f t="shared" si="13"/>
        <v>240613178219507.97</v>
      </c>
      <c r="D317">
        <f t="shared" si="14"/>
        <v>240.61317821950797</v>
      </c>
      <c r="H317" s="9">
        <v>9685</v>
      </c>
    </row>
    <row r="318" spans="1:8">
      <c r="A318">
        <f t="shared" si="12"/>
        <v>1.2462797898949501E-6</v>
      </c>
      <c r="B318" s="9">
        <v>1.24627978989495</v>
      </c>
      <c r="C318">
        <f t="shared" si="13"/>
        <v>240549875261372.69</v>
      </c>
      <c r="D318">
        <f t="shared" si="14"/>
        <v>240.54987526137268</v>
      </c>
      <c r="H318" s="9">
        <v>9685</v>
      </c>
    </row>
    <row r="319" spans="1:8">
      <c r="A319">
        <f t="shared" si="12"/>
        <v>1.2466076738369201E-6</v>
      </c>
      <c r="B319" s="9">
        <v>1.2466076738369201</v>
      </c>
      <c r="C319">
        <f t="shared" si="13"/>
        <v>240486605603246.53</v>
      </c>
      <c r="D319">
        <f t="shared" si="14"/>
        <v>240.48660560324655</v>
      </c>
      <c r="H319" s="9">
        <v>9685</v>
      </c>
    </row>
    <row r="320" spans="1:8">
      <c r="A320">
        <f t="shared" si="12"/>
        <v>1.24693555777889E-6</v>
      </c>
      <c r="B320" s="9">
        <v>1.2469355577788901</v>
      </c>
      <c r="C320">
        <f t="shared" si="13"/>
        <v>240423369218860.62</v>
      </c>
      <c r="D320">
        <f t="shared" si="14"/>
        <v>240.42336921886061</v>
      </c>
      <c r="H320" s="9">
        <v>9685</v>
      </c>
    </row>
    <row r="321" spans="1:8">
      <c r="A321">
        <f t="shared" si="12"/>
        <v>1.2472634417208599E-6</v>
      </c>
      <c r="B321" s="9">
        <v>1.2472634417208599</v>
      </c>
      <c r="C321">
        <f t="shared" si="13"/>
        <v>240360166081973.69</v>
      </c>
      <c r="D321">
        <f t="shared" si="14"/>
        <v>240.36016608197369</v>
      </c>
      <c r="H321" s="9">
        <v>9685</v>
      </c>
    </row>
    <row r="322" spans="1:8">
      <c r="A322">
        <f t="shared" si="12"/>
        <v>1.2475913256628299E-6</v>
      </c>
      <c r="B322" s="9">
        <v>1.2475913256628299</v>
      </c>
      <c r="C322">
        <f t="shared" si="13"/>
        <v>240296996166372</v>
      </c>
      <c r="D322">
        <f t="shared" si="14"/>
        <v>240.296996166372</v>
      </c>
      <c r="H322" s="9">
        <v>9685</v>
      </c>
    </row>
    <row r="323" spans="1:8">
      <c r="A323">
        <f t="shared" si="12"/>
        <v>1.2479192096048E-6</v>
      </c>
      <c r="B323" s="9">
        <v>1.2479192096048</v>
      </c>
      <c r="C323">
        <f t="shared" si="13"/>
        <v>240233859445869.44</v>
      </c>
      <c r="D323">
        <f t="shared" si="14"/>
        <v>240.23385944586943</v>
      </c>
      <c r="H323" s="9">
        <v>9685</v>
      </c>
    </row>
    <row r="324" spans="1:8">
      <c r="A324">
        <f t="shared" si="12"/>
        <v>1.2482470935467699E-6</v>
      </c>
      <c r="B324" s="9">
        <v>1.24824709354677</v>
      </c>
      <c r="C324">
        <f t="shared" si="13"/>
        <v>240170755894307.41</v>
      </c>
      <c r="D324">
        <f t="shared" si="14"/>
        <v>240.1707558943074</v>
      </c>
      <c r="H324" s="9">
        <v>9685</v>
      </c>
    </row>
    <row r="325" spans="1:8">
      <c r="A325">
        <f t="shared" si="12"/>
        <v>1.2485749774887401E-6</v>
      </c>
      <c r="B325" s="9">
        <v>1.24857497748874</v>
      </c>
      <c r="C325">
        <f t="shared" si="13"/>
        <v>240107685485554.75</v>
      </c>
      <c r="D325">
        <f t="shared" si="14"/>
        <v>240.10768548555475</v>
      </c>
      <c r="H325" s="9">
        <v>9685</v>
      </c>
    </row>
    <row r="326" spans="1:8">
      <c r="A326">
        <f t="shared" si="12"/>
        <v>1.24890286143072E-6</v>
      </c>
      <c r="B326" s="9">
        <v>1.24890286143072</v>
      </c>
      <c r="C326">
        <f t="shared" si="13"/>
        <v>240044648193505.87</v>
      </c>
      <c r="D326">
        <f t="shared" si="14"/>
        <v>240.04464819350588</v>
      </c>
      <c r="H326" s="9">
        <v>9685</v>
      </c>
    </row>
    <row r="327" spans="1:8">
      <c r="A327">
        <f t="shared" ref="A327:A390" si="15">B327/1000000</f>
        <v>1.2492307453726901E-6</v>
      </c>
      <c r="B327" s="9">
        <v>1.2492307453726901</v>
      </c>
      <c r="C327">
        <f t="shared" ref="C327:C390" si="16">wavelength_to_freq(B327)</f>
        <v>239981643992088.28</v>
      </c>
      <c r="D327">
        <f t="shared" ref="D327:D390" si="17">C327/1000000000000</f>
        <v>239.98164399208829</v>
      </c>
      <c r="H327" s="9">
        <v>9685</v>
      </c>
    </row>
    <row r="328" spans="1:8">
      <c r="A328">
        <f t="shared" si="15"/>
        <v>1.2495586293146601E-6</v>
      </c>
      <c r="B328" s="9">
        <v>1.2495586293146601</v>
      </c>
      <c r="C328">
        <f t="shared" si="16"/>
        <v>239918672855251.16</v>
      </c>
      <c r="D328">
        <f t="shared" si="17"/>
        <v>239.91867285525115</v>
      </c>
      <c r="H328" s="9">
        <v>9685</v>
      </c>
    </row>
    <row r="329" spans="1:8">
      <c r="A329">
        <f t="shared" si="15"/>
        <v>1.24988651325663E-6</v>
      </c>
      <c r="B329" s="9">
        <v>1.2498865132566299</v>
      </c>
      <c r="C329">
        <f t="shared" si="16"/>
        <v>239855734756972.97</v>
      </c>
      <c r="D329">
        <f t="shared" si="17"/>
        <v>239.85573475697296</v>
      </c>
      <c r="H329" s="9">
        <v>9685</v>
      </c>
    </row>
    <row r="330" spans="1:8">
      <c r="A330">
        <f t="shared" si="15"/>
        <v>1.2502143971985999E-6</v>
      </c>
      <c r="B330" s="9">
        <v>1.2502143971985999</v>
      </c>
      <c r="C330">
        <f t="shared" si="16"/>
        <v>239792829671259.31</v>
      </c>
      <c r="D330">
        <f t="shared" si="17"/>
        <v>239.79282967125931</v>
      </c>
      <c r="H330" s="9">
        <v>9694</v>
      </c>
    </row>
    <row r="331" spans="1:8">
      <c r="A331">
        <f t="shared" si="15"/>
        <v>1.2505422811405701E-6</v>
      </c>
      <c r="B331" s="9">
        <v>1.25054228114057</v>
      </c>
      <c r="C331">
        <f t="shared" si="16"/>
        <v>239729957572143.19</v>
      </c>
      <c r="D331">
        <f t="shared" si="17"/>
        <v>239.72995757214318</v>
      </c>
      <c r="H331" s="9">
        <v>9694</v>
      </c>
    </row>
    <row r="332" spans="1:8">
      <c r="A332">
        <f t="shared" si="15"/>
        <v>1.25087016508254E-6</v>
      </c>
      <c r="B332" s="9">
        <v>1.25087016508254</v>
      </c>
      <c r="C332">
        <f t="shared" si="16"/>
        <v>239667118433684.81</v>
      </c>
      <c r="D332">
        <f t="shared" si="17"/>
        <v>239.66711843368481</v>
      </c>
      <c r="H332" s="9">
        <v>9749</v>
      </c>
    </row>
    <row r="333" spans="1:8">
      <c r="A333">
        <f t="shared" si="15"/>
        <v>1.25119804902451E-6</v>
      </c>
      <c r="B333" s="9">
        <v>1.25119804902451</v>
      </c>
      <c r="C333">
        <f t="shared" si="16"/>
        <v>239604312229971.59</v>
      </c>
      <c r="D333">
        <f t="shared" si="17"/>
        <v>239.60431222997158</v>
      </c>
      <c r="H333" s="9">
        <v>9749</v>
      </c>
    </row>
    <row r="334" spans="1:8">
      <c r="A334">
        <f t="shared" si="15"/>
        <v>1.2515259329664801E-6</v>
      </c>
      <c r="B334" s="9">
        <v>1.2515259329664801</v>
      </c>
      <c r="C334">
        <f t="shared" si="16"/>
        <v>239541538935118.03</v>
      </c>
      <c r="D334">
        <f t="shared" si="17"/>
        <v>239.54153893511804</v>
      </c>
      <c r="H334" s="9">
        <v>9749</v>
      </c>
    </row>
    <row r="335" spans="1:8">
      <c r="A335">
        <f t="shared" si="15"/>
        <v>1.25185381690845E-6</v>
      </c>
      <c r="B335" s="9">
        <v>1.2518538169084501</v>
      </c>
      <c r="C335">
        <f t="shared" si="16"/>
        <v>239478798523265.81</v>
      </c>
      <c r="D335">
        <f t="shared" si="17"/>
        <v>239.47879852326582</v>
      </c>
      <c r="H335" s="9">
        <v>9749</v>
      </c>
    </row>
    <row r="336" spans="1:8">
      <c r="A336">
        <f t="shared" si="15"/>
        <v>1.2521817008504299E-6</v>
      </c>
      <c r="B336" s="9">
        <v>1.2521817008504299</v>
      </c>
      <c r="C336">
        <f t="shared" si="16"/>
        <v>239416090968581.78</v>
      </c>
      <c r="D336">
        <f t="shared" si="17"/>
        <v>239.41609096858178</v>
      </c>
      <c r="H336" s="9">
        <v>9749</v>
      </c>
    </row>
    <row r="337" spans="1:8">
      <c r="A337">
        <f t="shared" si="15"/>
        <v>1.2525095847923999E-6</v>
      </c>
      <c r="B337" s="9">
        <v>1.2525095847923999</v>
      </c>
      <c r="C337">
        <f t="shared" si="16"/>
        <v>239353416245265.53</v>
      </c>
      <c r="D337">
        <f t="shared" si="17"/>
        <v>239.35341624526552</v>
      </c>
      <c r="H337" s="9">
        <v>9749</v>
      </c>
    </row>
    <row r="338" spans="1:8">
      <c r="A338">
        <f t="shared" si="15"/>
        <v>1.25283746873437E-6</v>
      </c>
      <c r="B338" s="9">
        <v>1.25283746873437</v>
      </c>
      <c r="C338">
        <f t="shared" si="16"/>
        <v>239290774327537.94</v>
      </c>
      <c r="D338">
        <f t="shared" si="17"/>
        <v>239.29077432753795</v>
      </c>
      <c r="H338" s="9">
        <v>9749</v>
      </c>
    </row>
    <row r="339" spans="1:8">
      <c r="A339">
        <f t="shared" si="15"/>
        <v>1.2531653526763399E-6</v>
      </c>
      <c r="B339" s="9">
        <v>1.25316535267634</v>
      </c>
      <c r="C339">
        <f t="shared" si="16"/>
        <v>239228165189648.84</v>
      </c>
      <c r="D339">
        <f t="shared" si="17"/>
        <v>239.22816518964885</v>
      </c>
      <c r="H339" s="9">
        <v>9777</v>
      </c>
    </row>
    <row r="340" spans="1:8">
      <c r="A340">
        <f t="shared" si="15"/>
        <v>1.2534932366183101E-6</v>
      </c>
      <c r="B340" s="9">
        <v>1.25349323661831</v>
      </c>
      <c r="C340">
        <f t="shared" si="16"/>
        <v>239165588805874.91</v>
      </c>
      <c r="D340">
        <f t="shared" si="17"/>
        <v>239.1655888058749</v>
      </c>
      <c r="H340" s="9">
        <v>9777</v>
      </c>
    </row>
    <row r="341" spans="1:8">
      <c r="A341">
        <f t="shared" si="15"/>
        <v>1.25382112056028E-6</v>
      </c>
      <c r="B341" s="9">
        <v>1.2538211205602801</v>
      </c>
      <c r="C341">
        <f t="shared" si="16"/>
        <v>239103045150519.81</v>
      </c>
      <c r="D341">
        <f t="shared" si="17"/>
        <v>239.10304515051982</v>
      </c>
      <c r="H341" s="9">
        <v>9777</v>
      </c>
    </row>
    <row r="342" spans="1:8">
      <c r="A342">
        <f t="shared" si="15"/>
        <v>1.2541490045022502E-6</v>
      </c>
      <c r="B342" s="9">
        <v>1.2541490045022501</v>
      </c>
      <c r="C342">
        <f t="shared" si="16"/>
        <v>239040534197914.06</v>
      </c>
      <c r="D342">
        <f t="shared" si="17"/>
        <v>239.04053419791407</v>
      </c>
      <c r="H342" s="9">
        <v>9777</v>
      </c>
    </row>
    <row r="343" spans="1:8">
      <c r="A343">
        <f t="shared" si="15"/>
        <v>1.2544768884442199E-6</v>
      </c>
      <c r="B343" s="9">
        <v>1.2544768884442199</v>
      </c>
      <c r="C343">
        <f t="shared" si="16"/>
        <v>238978055922415.03</v>
      </c>
      <c r="D343">
        <f t="shared" si="17"/>
        <v>238.97805592241502</v>
      </c>
      <c r="H343" s="9">
        <v>9777</v>
      </c>
    </row>
    <row r="344" spans="1:8">
      <c r="A344">
        <f t="shared" si="15"/>
        <v>1.2548047723861898E-6</v>
      </c>
      <c r="B344" s="9">
        <v>1.2548047723861899</v>
      </c>
      <c r="C344">
        <f t="shared" si="16"/>
        <v>238915610298406.81</v>
      </c>
      <c r="D344">
        <f t="shared" si="17"/>
        <v>238.91561029840682</v>
      </c>
      <c r="H344" s="9">
        <v>9777</v>
      </c>
    </row>
    <row r="345" spans="1:8">
      <c r="A345">
        <f t="shared" si="15"/>
        <v>1.25513265632816E-6</v>
      </c>
      <c r="B345" s="9">
        <v>1.25513265632816</v>
      </c>
      <c r="C345">
        <f t="shared" si="16"/>
        <v>238853197300300.31</v>
      </c>
      <c r="D345">
        <f t="shared" si="17"/>
        <v>238.85319730030031</v>
      </c>
      <c r="H345" s="9">
        <v>9777</v>
      </c>
    </row>
    <row r="346" spans="1:8">
      <c r="A346">
        <f t="shared" si="15"/>
        <v>1.2554605402701401E-6</v>
      </c>
      <c r="B346" s="9">
        <v>1.25546054027014</v>
      </c>
      <c r="C346">
        <f t="shared" si="16"/>
        <v>238790816902531.28</v>
      </c>
      <c r="D346">
        <f t="shared" si="17"/>
        <v>238.79081690253128</v>
      </c>
      <c r="H346" s="9">
        <v>9777</v>
      </c>
    </row>
    <row r="347" spans="1:8">
      <c r="A347">
        <f t="shared" si="15"/>
        <v>1.25578842421211E-6</v>
      </c>
      <c r="B347" s="9">
        <v>1.25578842421211</v>
      </c>
      <c r="C347">
        <f t="shared" si="16"/>
        <v>238728469079567.91</v>
      </c>
      <c r="D347">
        <f t="shared" si="17"/>
        <v>238.7284690795679</v>
      </c>
      <c r="H347" s="9">
        <v>9777</v>
      </c>
    </row>
    <row r="348" spans="1:8">
      <c r="A348">
        <f t="shared" si="15"/>
        <v>1.25611630815408E-6</v>
      </c>
      <c r="B348" s="9">
        <v>1.25611630815408</v>
      </c>
      <c r="C348">
        <f t="shared" si="16"/>
        <v>238666153805899.25</v>
      </c>
      <c r="D348">
        <f t="shared" si="17"/>
        <v>238.66615380589926</v>
      </c>
      <c r="H348" s="9">
        <v>9777</v>
      </c>
    </row>
    <row r="349" spans="1:8">
      <c r="A349">
        <f t="shared" si="15"/>
        <v>1.2564441920960501E-6</v>
      </c>
      <c r="B349" s="9">
        <v>1.2564441920960501</v>
      </c>
      <c r="C349">
        <f t="shared" si="16"/>
        <v>238603871056042.97</v>
      </c>
      <c r="D349">
        <f t="shared" si="17"/>
        <v>238.60387105604298</v>
      </c>
      <c r="H349" s="9">
        <v>9777</v>
      </c>
    </row>
    <row r="350" spans="1:8">
      <c r="A350">
        <f t="shared" si="15"/>
        <v>1.25677207603802E-6</v>
      </c>
      <c r="B350" s="9">
        <v>1.2567720760380201</v>
      </c>
      <c r="C350">
        <f t="shared" si="16"/>
        <v>238541620804543.25</v>
      </c>
      <c r="D350">
        <f t="shared" si="17"/>
        <v>238.54162080454324</v>
      </c>
      <c r="H350" s="9">
        <v>9777</v>
      </c>
    </row>
    <row r="351" spans="1:8">
      <c r="A351">
        <f t="shared" si="15"/>
        <v>1.25709995997999E-6</v>
      </c>
      <c r="B351" s="9">
        <v>1.2570999599799899</v>
      </c>
      <c r="C351">
        <f t="shared" si="16"/>
        <v>238479403025970.97</v>
      </c>
      <c r="D351">
        <f t="shared" si="17"/>
        <v>238.47940302597098</v>
      </c>
      <c r="H351" s="9">
        <v>9777</v>
      </c>
    </row>
    <row r="352" spans="1:8">
      <c r="A352">
        <f t="shared" si="15"/>
        <v>1.2574278439219599E-6</v>
      </c>
      <c r="B352" s="9">
        <v>1.2574278439219599</v>
      </c>
      <c r="C352">
        <f t="shared" si="16"/>
        <v>238417217694923.34</v>
      </c>
      <c r="D352">
        <f t="shared" si="17"/>
        <v>238.41721769492335</v>
      </c>
      <c r="H352" s="9">
        <v>9777</v>
      </c>
    </row>
    <row r="353" spans="1:8">
      <c r="A353">
        <f t="shared" si="15"/>
        <v>1.2577557278639301E-6</v>
      </c>
      <c r="B353" s="9">
        <v>1.25775572786393</v>
      </c>
      <c r="C353">
        <f t="shared" si="16"/>
        <v>238355064786024.16</v>
      </c>
      <c r="D353">
        <f t="shared" si="17"/>
        <v>238.35506478602414</v>
      </c>
      <c r="H353" s="9">
        <v>9777</v>
      </c>
    </row>
    <row r="354" spans="1:8">
      <c r="A354">
        <f t="shared" si="15"/>
        <v>1.2580836118059E-6</v>
      </c>
      <c r="B354" s="9">
        <v>1.2580836118059</v>
      </c>
      <c r="C354">
        <f t="shared" si="16"/>
        <v>238292944273923.72</v>
      </c>
      <c r="D354">
        <f t="shared" si="17"/>
        <v>238.29294427392372</v>
      </c>
      <c r="H354" s="9">
        <v>9777</v>
      </c>
    </row>
    <row r="355" spans="1:8">
      <c r="A355">
        <f t="shared" si="15"/>
        <v>1.2584114957478701E-6</v>
      </c>
      <c r="B355" s="9">
        <v>1.25841149574787</v>
      </c>
      <c r="C355">
        <f t="shared" si="16"/>
        <v>238230856133298.66</v>
      </c>
      <c r="D355">
        <f t="shared" si="17"/>
        <v>238.23085613329866</v>
      </c>
      <c r="H355" s="9">
        <v>9777</v>
      </c>
    </row>
    <row r="356" spans="1:8">
      <c r="A356">
        <f t="shared" si="15"/>
        <v>1.2587393796898401E-6</v>
      </c>
      <c r="B356" s="9">
        <v>1.2587393796898401</v>
      </c>
      <c r="C356">
        <f t="shared" si="16"/>
        <v>238168800338852.06</v>
      </c>
      <c r="D356">
        <f t="shared" si="17"/>
        <v>238.16880033885207</v>
      </c>
      <c r="H356" s="9">
        <v>9777</v>
      </c>
    </row>
    <row r="357" spans="1:8">
      <c r="A357">
        <f t="shared" si="15"/>
        <v>1.2590672636318202E-6</v>
      </c>
      <c r="B357" s="9">
        <v>1.2590672636318201</v>
      </c>
      <c r="C357">
        <f t="shared" si="16"/>
        <v>238106776865311.41</v>
      </c>
      <c r="D357">
        <f t="shared" si="17"/>
        <v>238.10677686531142</v>
      </c>
      <c r="H357" s="9">
        <v>9777</v>
      </c>
    </row>
    <row r="358" spans="1:8">
      <c r="A358">
        <f t="shared" si="15"/>
        <v>1.2593951475737899E-6</v>
      </c>
      <c r="B358" s="9">
        <v>1.2593951475737899</v>
      </c>
      <c r="C358">
        <f t="shared" si="16"/>
        <v>238044785687436.28</v>
      </c>
      <c r="D358">
        <f t="shared" si="17"/>
        <v>238.04478568743627</v>
      </c>
      <c r="H358" s="9">
        <v>9777</v>
      </c>
    </row>
    <row r="359" spans="1:8">
      <c r="A359">
        <f t="shared" si="15"/>
        <v>1.2597230315157598E-6</v>
      </c>
      <c r="B359" s="9">
        <v>1.2597230315157599</v>
      </c>
      <c r="C359">
        <f t="shared" si="16"/>
        <v>237982826780006.69</v>
      </c>
      <c r="D359">
        <f t="shared" si="17"/>
        <v>237.98282678000669</v>
      </c>
      <c r="H359" s="9">
        <v>9777</v>
      </c>
    </row>
    <row r="360" spans="1:8">
      <c r="A360">
        <f t="shared" si="15"/>
        <v>1.26005091545773E-6</v>
      </c>
      <c r="B360" s="9">
        <v>1.26005091545773</v>
      </c>
      <c r="C360">
        <f t="shared" si="16"/>
        <v>237920900117830.94</v>
      </c>
      <c r="D360">
        <f t="shared" si="17"/>
        <v>237.92090011783094</v>
      </c>
      <c r="H360" s="9">
        <v>9777</v>
      </c>
    </row>
    <row r="361" spans="1:8">
      <c r="A361">
        <f t="shared" si="15"/>
        <v>1.2603787993996999E-6</v>
      </c>
      <c r="B361" s="9">
        <v>1.2603787993997</v>
      </c>
      <c r="C361">
        <f t="shared" si="16"/>
        <v>237859005675743.5</v>
      </c>
      <c r="D361">
        <f t="shared" si="17"/>
        <v>237.8590056757435</v>
      </c>
      <c r="H361" s="9">
        <v>9777</v>
      </c>
    </row>
    <row r="362" spans="1:8">
      <c r="A362">
        <f t="shared" si="15"/>
        <v>1.2607066833416701E-6</v>
      </c>
      <c r="B362" s="9">
        <v>1.26070668334167</v>
      </c>
      <c r="C362">
        <f t="shared" si="16"/>
        <v>237797143428605</v>
      </c>
      <c r="D362">
        <f t="shared" si="17"/>
        <v>237.79714342860501</v>
      </c>
      <c r="H362" s="9">
        <v>9777</v>
      </c>
    </row>
    <row r="363" spans="1:8">
      <c r="A363">
        <f t="shared" si="15"/>
        <v>1.26103456728364E-6</v>
      </c>
      <c r="B363" s="9">
        <v>1.2610345672836401</v>
      </c>
      <c r="C363">
        <f t="shared" si="16"/>
        <v>237735313351302.25</v>
      </c>
      <c r="D363">
        <f t="shared" si="17"/>
        <v>237.73531335130224</v>
      </c>
      <c r="H363" s="9">
        <v>9777</v>
      </c>
    </row>
    <row r="364" spans="1:8">
      <c r="A364">
        <f t="shared" si="15"/>
        <v>1.2613624512256101E-6</v>
      </c>
      <c r="B364" s="9">
        <v>1.2613624512256101</v>
      </c>
      <c r="C364">
        <f t="shared" si="16"/>
        <v>237673515418748.16</v>
      </c>
      <c r="D364">
        <f t="shared" si="17"/>
        <v>237.67351541874817</v>
      </c>
      <c r="H364" s="9">
        <v>9777</v>
      </c>
    </row>
    <row r="365" spans="1:8">
      <c r="A365">
        <f t="shared" si="15"/>
        <v>1.2616903351675799E-6</v>
      </c>
      <c r="B365" s="9">
        <v>1.2616903351675799</v>
      </c>
      <c r="C365">
        <f t="shared" si="16"/>
        <v>237611749605881.75</v>
      </c>
      <c r="D365">
        <f t="shared" si="17"/>
        <v>237.61174960588176</v>
      </c>
      <c r="H365" s="9">
        <v>9777</v>
      </c>
    </row>
    <row r="366" spans="1:8">
      <c r="A366">
        <f t="shared" si="15"/>
        <v>1.26201821910955E-6</v>
      </c>
      <c r="B366" s="9">
        <v>1.2620182191095499</v>
      </c>
      <c r="C366">
        <f t="shared" si="16"/>
        <v>237550015887667.97</v>
      </c>
      <c r="D366">
        <f t="shared" si="17"/>
        <v>237.55001588766797</v>
      </c>
      <c r="H366" s="9">
        <v>9777</v>
      </c>
    </row>
    <row r="367" spans="1:8">
      <c r="A367">
        <f t="shared" si="15"/>
        <v>1.2623461030515299E-6</v>
      </c>
      <c r="B367" s="9">
        <v>1.2623461030515299</v>
      </c>
      <c r="C367">
        <f t="shared" si="16"/>
        <v>237488314239096</v>
      </c>
      <c r="D367">
        <f t="shared" si="17"/>
        <v>237.48831423909601</v>
      </c>
      <c r="H367" s="9">
        <v>9777</v>
      </c>
    </row>
    <row r="368" spans="1:8">
      <c r="A368">
        <f t="shared" si="15"/>
        <v>1.2626739869935001E-6</v>
      </c>
      <c r="B368" s="9">
        <v>1.2626739869935</v>
      </c>
      <c r="C368">
        <f t="shared" si="16"/>
        <v>237426644635186.66</v>
      </c>
      <c r="D368">
        <f t="shared" si="17"/>
        <v>237.42664463518665</v>
      </c>
      <c r="H368" s="9">
        <v>9777</v>
      </c>
    </row>
    <row r="369" spans="1:8">
      <c r="A369">
        <f t="shared" si="15"/>
        <v>1.26300187093547E-6</v>
      </c>
      <c r="B369" s="9">
        <v>1.26300187093547</v>
      </c>
      <c r="C369">
        <f t="shared" si="16"/>
        <v>237365007050980.97</v>
      </c>
      <c r="D369">
        <f t="shared" si="17"/>
        <v>237.36500705098098</v>
      </c>
      <c r="H369" s="9">
        <v>9777</v>
      </c>
    </row>
    <row r="370" spans="1:8">
      <c r="A370">
        <f t="shared" si="15"/>
        <v>1.2633297548774401E-6</v>
      </c>
      <c r="B370" s="9">
        <v>1.26332975487744</v>
      </c>
      <c r="C370">
        <f t="shared" si="16"/>
        <v>237303401461547.84</v>
      </c>
      <c r="D370">
        <f t="shared" si="17"/>
        <v>237.30340146154785</v>
      </c>
      <c r="H370" s="9">
        <v>9777</v>
      </c>
    </row>
    <row r="371" spans="1:8">
      <c r="A371">
        <f t="shared" si="15"/>
        <v>1.2636576388194101E-6</v>
      </c>
      <c r="B371" s="9">
        <v>1.2636576388194101</v>
      </c>
      <c r="C371">
        <f t="shared" si="16"/>
        <v>237241827841982.03</v>
      </c>
      <c r="D371">
        <f t="shared" si="17"/>
        <v>237.24182784198203</v>
      </c>
      <c r="H371" s="9">
        <v>9777</v>
      </c>
    </row>
    <row r="372" spans="1:8">
      <c r="A372">
        <f t="shared" si="15"/>
        <v>1.26398552276138E-6</v>
      </c>
      <c r="B372" s="9">
        <v>1.2639855227613801</v>
      </c>
      <c r="C372">
        <f t="shared" si="16"/>
        <v>237180286167404.09</v>
      </c>
      <c r="D372">
        <f t="shared" si="17"/>
        <v>237.18028616740409</v>
      </c>
      <c r="H372" s="9">
        <v>9777</v>
      </c>
    </row>
    <row r="373" spans="1:8">
      <c r="A373">
        <f t="shared" si="15"/>
        <v>1.2643134067033499E-6</v>
      </c>
      <c r="B373" s="9">
        <v>1.2643134067033499</v>
      </c>
      <c r="C373">
        <f t="shared" si="16"/>
        <v>237118776412960.47</v>
      </c>
      <c r="D373">
        <f t="shared" si="17"/>
        <v>237.11877641296047</v>
      </c>
      <c r="H373" s="9">
        <v>9777</v>
      </c>
    </row>
    <row r="374" spans="1:8">
      <c r="A374">
        <f t="shared" si="15"/>
        <v>1.2646412906453199E-6</v>
      </c>
      <c r="B374" s="9">
        <v>1.2646412906453199</v>
      </c>
      <c r="C374">
        <f t="shared" si="16"/>
        <v>237057298553823.28</v>
      </c>
      <c r="D374">
        <f t="shared" si="17"/>
        <v>237.05729855382327</v>
      </c>
      <c r="H374" s="9">
        <v>9777</v>
      </c>
    </row>
    <row r="375" spans="1:8">
      <c r="A375">
        <f t="shared" si="15"/>
        <v>1.26496917458729E-6</v>
      </c>
      <c r="B375" s="9">
        <v>1.26496917458729</v>
      </c>
      <c r="C375">
        <f t="shared" si="16"/>
        <v>236995852565190.44</v>
      </c>
      <c r="D375">
        <f t="shared" si="17"/>
        <v>236.99585256519043</v>
      </c>
      <c r="H375" s="9">
        <v>9777</v>
      </c>
    </row>
    <row r="376" spans="1:8">
      <c r="A376">
        <f t="shared" si="15"/>
        <v>1.26529705852926E-6</v>
      </c>
      <c r="B376" s="9">
        <v>1.26529705852926</v>
      </c>
      <c r="C376">
        <f t="shared" si="16"/>
        <v>236934438422285.56</v>
      </c>
      <c r="D376">
        <f t="shared" si="17"/>
        <v>236.93443842228555</v>
      </c>
      <c r="H376" s="9">
        <v>9777</v>
      </c>
    </row>
    <row r="377" spans="1:8">
      <c r="A377">
        <f t="shared" si="15"/>
        <v>1.2656249424712401E-6</v>
      </c>
      <c r="B377" s="9">
        <v>1.26562494247124</v>
      </c>
      <c r="C377">
        <f t="shared" si="16"/>
        <v>236873056100356.09</v>
      </c>
      <c r="D377">
        <f t="shared" si="17"/>
        <v>236.87305610035608</v>
      </c>
      <c r="H377" s="9">
        <v>10140</v>
      </c>
    </row>
    <row r="378" spans="1:8">
      <c r="A378">
        <f t="shared" si="15"/>
        <v>1.26595282641321E-6</v>
      </c>
      <c r="B378" s="9">
        <v>1.2659528264132101</v>
      </c>
      <c r="C378">
        <f t="shared" si="16"/>
        <v>236811705574680.72</v>
      </c>
      <c r="D378">
        <f t="shared" si="17"/>
        <v>236.81170557468073</v>
      </c>
      <c r="H378" s="9">
        <v>10140</v>
      </c>
    </row>
    <row r="379" spans="1:8">
      <c r="A379">
        <f t="shared" si="15"/>
        <v>1.2662807103551801E-6</v>
      </c>
      <c r="B379" s="9">
        <v>1.2662807103551801</v>
      </c>
      <c r="C379">
        <f t="shared" si="16"/>
        <v>236750386820558.12</v>
      </c>
      <c r="D379">
        <f t="shared" si="17"/>
        <v>236.75038682055813</v>
      </c>
      <c r="H379" s="9">
        <v>10140</v>
      </c>
    </row>
    <row r="380" spans="1:8">
      <c r="A380">
        <f t="shared" si="15"/>
        <v>1.2666085942971499E-6</v>
      </c>
      <c r="B380" s="9">
        <v>1.2666085942971499</v>
      </c>
      <c r="C380">
        <f t="shared" si="16"/>
        <v>236689099813314.44</v>
      </c>
      <c r="D380">
        <f t="shared" si="17"/>
        <v>236.68909981331444</v>
      </c>
      <c r="H380" s="9">
        <v>10140</v>
      </c>
    </row>
    <row r="381" spans="1:8">
      <c r="A381">
        <f t="shared" si="15"/>
        <v>1.26693647823912E-6</v>
      </c>
      <c r="B381" s="9">
        <v>1.2669364782391199</v>
      </c>
      <c r="C381">
        <f t="shared" si="16"/>
        <v>236627844528301.25</v>
      </c>
      <c r="D381">
        <f t="shared" si="17"/>
        <v>236.62784452830124</v>
      </c>
      <c r="H381" s="9">
        <v>10140</v>
      </c>
    </row>
    <row r="382" spans="1:8">
      <c r="A382">
        <f t="shared" si="15"/>
        <v>1.26726436218109E-6</v>
      </c>
      <c r="B382" s="9">
        <v>1.26726436218109</v>
      </c>
      <c r="C382">
        <f t="shared" si="16"/>
        <v>236566620940895.81</v>
      </c>
      <c r="D382">
        <f t="shared" si="17"/>
        <v>236.5666209408958</v>
      </c>
      <c r="H382" s="9">
        <v>10270</v>
      </c>
    </row>
    <row r="383" spans="1:8">
      <c r="A383">
        <f t="shared" si="15"/>
        <v>1.2675922461230599E-6</v>
      </c>
      <c r="B383" s="9">
        <v>1.26759224612306</v>
      </c>
      <c r="C383">
        <f t="shared" si="16"/>
        <v>236505429026500.72</v>
      </c>
      <c r="D383">
        <f t="shared" si="17"/>
        <v>236.50542902650071</v>
      </c>
      <c r="H383" s="9">
        <v>10270</v>
      </c>
    </row>
    <row r="384" spans="1:8">
      <c r="A384">
        <f t="shared" si="15"/>
        <v>1.26792013006503E-6</v>
      </c>
      <c r="B384" s="9">
        <v>1.26792013006503</v>
      </c>
      <c r="C384">
        <f t="shared" si="16"/>
        <v>236444268760544.09</v>
      </c>
      <c r="D384">
        <f t="shared" si="17"/>
        <v>236.44426876054411</v>
      </c>
      <c r="H384" s="9">
        <v>10270</v>
      </c>
    </row>
    <row r="385" spans="1:8">
      <c r="A385">
        <f t="shared" si="15"/>
        <v>1.268248014007E-6</v>
      </c>
      <c r="B385" s="9">
        <v>1.268248014007</v>
      </c>
      <c r="C385">
        <f t="shared" si="16"/>
        <v>236383140118479.47</v>
      </c>
      <c r="D385">
        <f t="shared" si="17"/>
        <v>236.38314011847947</v>
      </c>
      <c r="H385" s="9">
        <v>10270</v>
      </c>
    </row>
    <row r="386" spans="1:8">
      <c r="A386">
        <f t="shared" si="15"/>
        <v>1.2685758979489701E-6</v>
      </c>
      <c r="B386" s="9">
        <v>1.2685758979489701</v>
      </c>
      <c r="C386">
        <f t="shared" si="16"/>
        <v>236322043075785.69</v>
      </c>
      <c r="D386">
        <f t="shared" si="17"/>
        <v>236.3220430757857</v>
      </c>
      <c r="H386" s="9">
        <v>10270</v>
      </c>
    </row>
    <row r="387" spans="1:8">
      <c r="A387">
        <f t="shared" si="15"/>
        <v>1.26890378189095E-6</v>
      </c>
      <c r="B387" s="9">
        <v>1.2689037818909501</v>
      </c>
      <c r="C387">
        <f t="shared" si="16"/>
        <v>236260977607965.09</v>
      </c>
      <c r="D387">
        <f t="shared" si="17"/>
        <v>236.26097760796509</v>
      </c>
      <c r="H387" s="9">
        <v>10270</v>
      </c>
    </row>
    <row r="388" spans="1:8">
      <c r="A388">
        <f t="shared" si="15"/>
        <v>1.2692316658329199E-6</v>
      </c>
      <c r="B388" s="9">
        <v>1.2692316658329199</v>
      </c>
      <c r="C388">
        <f t="shared" si="16"/>
        <v>236199943690551.06</v>
      </c>
      <c r="D388">
        <f t="shared" si="17"/>
        <v>236.19994369055107</v>
      </c>
      <c r="H388" s="9">
        <v>10270</v>
      </c>
    </row>
    <row r="389" spans="1:8">
      <c r="A389">
        <f t="shared" si="15"/>
        <v>1.2695595497748899E-6</v>
      </c>
      <c r="B389" s="9">
        <v>1.2695595497748899</v>
      </c>
      <c r="C389">
        <f t="shared" si="16"/>
        <v>236138941299096.41</v>
      </c>
      <c r="D389">
        <f t="shared" si="17"/>
        <v>236.13894129909642</v>
      </c>
      <c r="H389" s="9">
        <v>10270</v>
      </c>
    </row>
    <row r="390" spans="1:8">
      <c r="A390">
        <f t="shared" si="15"/>
        <v>1.26988743371686E-6</v>
      </c>
      <c r="B390" s="9">
        <v>1.26988743371686</v>
      </c>
      <c r="C390">
        <f t="shared" si="16"/>
        <v>236077970409181.25</v>
      </c>
      <c r="D390">
        <f t="shared" si="17"/>
        <v>236.07797040918126</v>
      </c>
      <c r="H390" s="9">
        <v>10322</v>
      </c>
    </row>
    <row r="391" spans="1:8">
      <c r="A391">
        <f t="shared" ref="A391:A454" si="18">B391/1000000</f>
        <v>1.27021531765883E-6</v>
      </c>
      <c r="B391" s="9">
        <v>1.27021531765883</v>
      </c>
      <c r="C391">
        <f t="shared" ref="C391:C454" si="19">wavelength_to_freq(B391)</f>
        <v>236017030996410.91</v>
      </c>
      <c r="D391">
        <f t="shared" ref="D391:D454" si="20">C391/1000000000000</f>
        <v>236.01703099641091</v>
      </c>
      <c r="H391" s="9">
        <v>10322</v>
      </c>
    </row>
    <row r="392" spans="1:8">
      <c r="A392">
        <f t="shared" si="18"/>
        <v>1.2705432016008001E-6</v>
      </c>
      <c r="B392" s="9">
        <v>1.2705432016008</v>
      </c>
      <c r="C392">
        <f t="shared" si="19"/>
        <v>235956123036415.78</v>
      </c>
      <c r="D392">
        <f t="shared" si="20"/>
        <v>235.95612303641579</v>
      </c>
      <c r="H392" s="9">
        <v>10322</v>
      </c>
    </row>
    <row r="393" spans="1:8">
      <c r="A393">
        <f t="shared" si="18"/>
        <v>1.27087108554277E-6</v>
      </c>
      <c r="B393" s="9">
        <v>1.2708710855427701</v>
      </c>
      <c r="C393">
        <f t="shared" si="19"/>
        <v>235895246504851.53</v>
      </c>
      <c r="D393">
        <f t="shared" si="20"/>
        <v>235.89524650485154</v>
      </c>
      <c r="H393" s="9">
        <v>10322</v>
      </c>
    </row>
    <row r="394" spans="1:8">
      <c r="A394">
        <f t="shared" si="18"/>
        <v>1.2711989694847402E-6</v>
      </c>
      <c r="B394" s="9">
        <v>1.2711989694847401</v>
      </c>
      <c r="C394">
        <f t="shared" si="19"/>
        <v>235834401377398.87</v>
      </c>
      <c r="D394">
        <f t="shared" si="20"/>
        <v>235.83440137739888</v>
      </c>
      <c r="H394" s="9">
        <v>10322</v>
      </c>
    </row>
    <row r="395" spans="1:8">
      <c r="A395">
        <f t="shared" si="18"/>
        <v>1.2715268534267099E-6</v>
      </c>
      <c r="B395" s="9">
        <v>1.2715268534267099</v>
      </c>
      <c r="C395">
        <f t="shared" si="19"/>
        <v>235773587629763.62</v>
      </c>
      <c r="D395">
        <f t="shared" si="20"/>
        <v>235.77358762976363</v>
      </c>
      <c r="H395" s="9">
        <v>10322</v>
      </c>
    </row>
    <row r="396" spans="1:8">
      <c r="A396">
        <f t="shared" si="18"/>
        <v>1.2718547373686799E-6</v>
      </c>
      <c r="B396" s="9">
        <v>1.2718547373686799</v>
      </c>
      <c r="C396">
        <f t="shared" si="19"/>
        <v>235712805237676.62</v>
      </c>
      <c r="D396">
        <f t="shared" si="20"/>
        <v>235.71280523767663</v>
      </c>
      <c r="H396" s="9">
        <v>10322</v>
      </c>
    </row>
    <row r="397" spans="1:8">
      <c r="A397">
        <f t="shared" si="18"/>
        <v>1.27218262131066E-6</v>
      </c>
      <c r="B397" s="9">
        <v>1.27218262131066</v>
      </c>
      <c r="C397">
        <f t="shared" si="19"/>
        <v>235652054176891.91</v>
      </c>
      <c r="D397">
        <f t="shared" si="20"/>
        <v>235.65205417689191</v>
      </c>
      <c r="H397" s="9">
        <v>10322</v>
      </c>
    </row>
    <row r="398" spans="1:8">
      <c r="A398">
        <f t="shared" si="18"/>
        <v>1.2725105052526299E-6</v>
      </c>
      <c r="B398" s="9">
        <v>1.27251050525263</v>
      </c>
      <c r="C398">
        <f t="shared" si="19"/>
        <v>235591334423194.06</v>
      </c>
      <c r="D398">
        <f t="shared" si="20"/>
        <v>235.59133442319407</v>
      </c>
      <c r="H398" s="9">
        <v>10322</v>
      </c>
    </row>
    <row r="399" spans="1:8">
      <c r="A399">
        <f t="shared" si="18"/>
        <v>1.2728383891946E-6</v>
      </c>
      <c r="B399" s="9">
        <v>1.2728383891946</v>
      </c>
      <c r="C399">
        <f t="shared" si="19"/>
        <v>235530645952387.06</v>
      </c>
      <c r="D399">
        <f t="shared" si="20"/>
        <v>235.53064595238706</v>
      </c>
      <c r="H399" s="9">
        <v>10322</v>
      </c>
    </row>
    <row r="400" spans="1:8">
      <c r="A400">
        <f t="shared" si="18"/>
        <v>1.27316627313657E-6</v>
      </c>
      <c r="B400" s="9">
        <v>1.27316627313657</v>
      </c>
      <c r="C400">
        <f t="shared" si="19"/>
        <v>235469988740301.69</v>
      </c>
      <c r="D400">
        <f t="shared" si="20"/>
        <v>235.46998874030169</v>
      </c>
      <c r="H400" s="9">
        <v>10322</v>
      </c>
    </row>
    <row r="401" spans="1:8">
      <c r="A401">
        <f t="shared" si="18"/>
        <v>1.2734941570785401E-6</v>
      </c>
      <c r="B401" s="9">
        <v>1.2734941570785401</v>
      </c>
      <c r="C401">
        <f t="shared" si="19"/>
        <v>235409362762793.53</v>
      </c>
      <c r="D401">
        <f t="shared" si="20"/>
        <v>235.40936276279353</v>
      </c>
      <c r="H401" s="9">
        <v>10322</v>
      </c>
    </row>
    <row r="402" spans="1:8">
      <c r="A402">
        <f t="shared" si="18"/>
        <v>1.2738220410205101E-6</v>
      </c>
      <c r="B402" s="9">
        <v>1.2738220410205101</v>
      </c>
      <c r="C402">
        <f t="shared" si="19"/>
        <v>235348767995743.12</v>
      </c>
      <c r="D402">
        <f t="shared" si="20"/>
        <v>235.34876799574312</v>
      </c>
      <c r="H402" s="9">
        <v>10322</v>
      </c>
    </row>
    <row r="403" spans="1:8">
      <c r="A403">
        <f t="shared" si="18"/>
        <v>1.27414992496248E-6</v>
      </c>
      <c r="B403" s="9">
        <v>1.2741499249624799</v>
      </c>
      <c r="C403">
        <f t="shared" si="19"/>
        <v>235288204415055.81</v>
      </c>
      <c r="D403">
        <f t="shared" si="20"/>
        <v>235.28820441505582</v>
      </c>
      <c r="H403" s="9">
        <v>10322</v>
      </c>
    </row>
    <row r="404" spans="1:8">
      <c r="A404">
        <f t="shared" si="18"/>
        <v>1.2744778089044499E-6</v>
      </c>
      <c r="B404" s="9">
        <v>1.2744778089044499</v>
      </c>
      <c r="C404">
        <f t="shared" si="19"/>
        <v>235227671996661.66</v>
      </c>
      <c r="D404">
        <f t="shared" si="20"/>
        <v>235.22767199666166</v>
      </c>
      <c r="H404" s="9">
        <v>10322</v>
      </c>
    </row>
    <row r="405" spans="1:8">
      <c r="A405">
        <f t="shared" si="18"/>
        <v>1.2748056928464201E-6</v>
      </c>
      <c r="B405" s="9">
        <v>1.27480569284642</v>
      </c>
      <c r="C405">
        <f t="shared" si="19"/>
        <v>235167170716515.59</v>
      </c>
      <c r="D405">
        <f t="shared" si="20"/>
        <v>235.16717071651559</v>
      </c>
      <c r="H405" s="9">
        <v>10322</v>
      </c>
    </row>
    <row r="406" spans="1:8">
      <c r="A406">
        <f t="shared" si="18"/>
        <v>1.27513357678839E-6</v>
      </c>
      <c r="B406" s="9">
        <v>1.27513357678839</v>
      </c>
      <c r="C406">
        <f t="shared" si="19"/>
        <v>235106700550597.25</v>
      </c>
      <c r="D406">
        <f t="shared" si="20"/>
        <v>235.10670055059725</v>
      </c>
      <c r="H406" s="9">
        <v>10322</v>
      </c>
    </row>
    <row r="407" spans="1:8">
      <c r="A407">
        <f t="shared" si="18"/>
        <v>1.2754614607303701E-6</v>
      </c>
      <c r="B407" s="9">
        <v>1.27546146073037</v>
      </c>
      <c r="C407">
        <f t="shared" si="19"/>
        <v>235046261474909.06</v>
      </c>
      <c r="D407">
        <f t="shared" si="20"/>
        <v>235.04626147490907</v>
      </c>
      <c r="H407" s="9">
        <v>10322</v>
      </c>
    </row>
    <row r="408" spans="1:8">
      <c r="A408">
        <f t="shared" si="18"/>
        <v>1.27578934467234E-6</v>
      </c>
      <c r="B408" s="9">
        <v>1.2757893446723401</v>
      </c>
      <c r="C408">
        <f t="shared" si="19"/>
        <v>234985853465483.72</v>
      </c>
      <c r="D408">
        <f t="shared" si="20"/>
        <v>234.98585346548373</v>
      </c>
      <c r="H408" s="9">
        <v>10322</v>
      </c>
    </row>
    <row r="409" spans="1:8">
      <c r="A409">
        <f t="shared" si="18"/>
        <v>1.2761172286143102E-6</v>
      </c>
      <c r="B409" s="9">
        <v>1.2761172286143101</v>
      </c>
      <c r="C409">
        <f t="shared" si="19"/>
        <v>234925476498373</v>
      </c>
      <c r="D409">
        <f t="shared" si="20"/>
        <v>234.925476498373</v>
      </c>
      <c r="H409" s="9">
        <v>10322</v>
      </c>
    </row>
    <row r="410" spans="1:8">
      <c r="A410">
        <f t="shared" si="18"/>
        <v>1.2764451125562799E-6</v>
      </c>
      <c r="B410" s="9">
        <v>1.2764451125562799</v>
      </c>
      <c r="C410">
        <f t="shared" si="19"/>
        <v>234865130549655.19</v>
      </c>
      <c r="D410">
        <f t="shared" si="20"/>
        <v>234.86513054965519</v>
      </c>
      <c r="H410" s="9">
        <v>10322</v>
      </c>
    </row>
    <row r="411" spans="1:8">
      <c r="A411">
        <f t="shared" si="18"/>
        <v>1.2767729964982499E-6</v>
      </c>
      <c r="B411" s="9">
        <v>1.2767729964982499</v>
      </c>
      <c r="C411">
        <f t="shared" si="19"/>
        <v>234804815595433</v>
      </c>
      <c r="D411">
        <f t="shared" si="20"/>
        <v>234.80481559543301</v>
      </c>
      <c r="H411" s="9">
        <v>10322</v>
      </c>
    </row>
    <row r="412" spans="1:8">
      <c r="A412">
        <f t="shared" si="18"/>
        <v>1.27710088044022E-6</v>
      </c>
      <c r="B412" s="9">
        <v>1.27710088044022</v>
      </c>
      <c r="C412">
        <f t="shared" si="19"/>
        <v>234744531611833.81</v>
      </c>
      <c r="D412">
        <f t="shared" si="20"/>
        <v>234.74453161183382</v>
      </c>
      <c r="H412" s="9">
        <v>10322</v>
      </c>
    </row>
    <row r="413" spans="1:8">
      <c r="A413">
        <f t="shared" si="18"/>
        <v>1.2774287643821899E-6</v>
      </c>
      <c r="B413" s="9">
        <v>1.27742876438219</v>
      </c>
      <c r="C413">
        <f t="shared" si="19"/>
        <v>234684278575009.47</v>
      </c>
      <c r="D413">
        <f t="shared" si="20"/>
        <v>234.68427857500947</v>
      </c>
      <c r="H413" s="9">
        <v>10322</v>
      </c>
    </row>
    <row r="414" spans="1:8">
      <c r="A414">
        <f t="shared" si="18"/>
        <v>1.2777566483241601E-6</v>
      </c>
      <c r="B414" s="9">
        <v>1.27775664832416</v>
      </c>
      <c r="C414">
        <f t="shared" si="19"/>
        <v>234624056461136.31</v>
      </c>
      <c r="D414">
        <f t="shared" si="20"/>
        <v>234.62405646113632</v>
      </c>
      <c r="H414" s="9">
        <v>10322</v>
      </c>
    </row>
    <row r="415" spans="1:8">
      <c r="A415">
        <f t="shared" si="18"/>
        <v>1.27808453226613E-6</v>
      </c>
      <c r="B415" s="9">
        <v>1.2780845322661301</v>
      </c>
      <c r="C415">
        <f t="shared" si="19"/>
        <v>234563865246415.09</v>
      </c>
      <c r="D415">
        <f t="shared" si="20"/>
        <v>234.56386524641511</v>
      </c>
      <c r="H415" s="9">
        <v>10322</v>
      </c>
    </row>
    <row r="416" spans="1:8">
      <c r="A416">
        <f t="shared" si="18"/>
        <v>1.2784124162081002E-6</v>
      </c>
      <c r="B416" s="9">
        <v>1.2784124162081001</v>
      </c>
      <c r="C416">
        <f t="shared" si="19"/>
        <v>234503704907071.06</v>
      </c>
      <c r="D416">
        <f t="shared" si="20"/>
        <v>234.50370490707107</v>
      </c>
      <c r="H416" s="9">
        <v>10322</v>
      </c>
    </row>
    <row r="417" spans="1:8">
      <c r="A417">
        <f t="shared" si="18"/>
        <v>1.2787403001500798E-6</v>
      </c>
      <c r="B417" s="9">
        <v>1.2787403001500799</v>
      </c>
      <c r="C417">
        <f t="shared" si="19"/>
        <v>234443575419351.94</v>
      </c>
      <c r="D417">
        <f t="shared" si="20"/>
        <v>234.44357541935193</v>
      </c>
      <c r="H417" s="9">
        <v>10322</v>
      </c>
    </row>
    <row r="418" spans="1:8">
      <c r="A418">
        <f t="shared" si="18"/>
        <v>1.27906818409205E-6</v>
      </c>
      <c r="B418" s="9">
        <v>1.2790681840920499</v>
      </c>
      <c r="C418">
        <f t="shared" si="19"/>
        <v>234383476759535.31</v>
      </c>
      <c r="D418">
        <f t="shared" si="20"/>
        <v>234.38347675953531</v>
      </c>
      <c r="H418" s="9">
        <v>10322</v>
      </c>
    </row>
    <row r="419" spans="1:8">
      <c r="A419">
        <f t="shared" si="18"/>
        <v>1.2793960680340199E-6</v>
      </c>
      <c r="B419" s="9">
        <v>1.27939606803402</v>
      </c>
      <c r="C419">
        <f t="shared" si="19"/>
        <v>234323408903917.56</v>
      </c>
      <c r="D419">
        <f t="shared" si="20"/>
        <v>234.32340890391757</v>
      </c>
      <c r="H419" s="9">
        <v>10322</v>
      </c>
    </row>
    <row r="420" spans="1:8">
      <c r="A420">
        <f t="shared" si="18"/>
        <v>1.2797239519759901E-6</v>
      </c>
      <c r="B420" s="9">
        <v>1.27972395197599</v>
      </c>
      <c r="C420">
        <f t="shared" si="19"/>
        <v>234263371828821.31</v>
      </c>
      <c r="D420">
        <f t="shared" si="20"/>
        <v>234.26337182882131</v>
      </c>
      <c r="H420" s="9">
        <v>10322</v>
      </c>
    </row>
    <row r="421" spans="1:8">
      <c r="A421">
        <f t="shared" si="18"/>
        <v>1.28005183591796E-6</v>
      </c>
      <c r="B421" s="9">
        <v>1.28005183591796</v>
      </c>
      <c r="C421">
        <f t="shared" si="19"/>
        <v>234203365510593.31</v>
      </c>
      <c r="D421">
        <f t="shared" si="20"/>
        <v>234.2033655105933</v>
      </c>
      <c r="H421" s="9">
        <v>10322</v>
      </c>
    </row>
    <row r="422" spans="1:8">
      <c r="A422">
        <f t="shared" si="18"/>
        <v>1.2803797198599299E-6</v>
      </c>
      <c r="B422" s="9">
        <v>1.28037971985993</v>
      </c>
      <c r="C422">
        <f t="shared" si="19"/>
        <v>234143389925604.62</v>
      </c>
      <c r="D422">
        <f t="shared" si="20"/>
        <v>234.14338992560462</v>
      </c>
      <c r="H422" s="9">
        <v>10322</v>
      </c>
    </row>
    <row r="423" spans="1:8">
      <c r="A423">
        <f t="shared" si="18"/>
        <v>1.2807076038019001E-6</v>
      </c>
      <c r="B423" s="9">
        <v>1.2807076038019001</v>
      </c>
      <c r="C423">
        <f t="shared" si="19"/>
        <v>234083445050250.44</v>
      </c>
      <c r="D423">
        <f t="shared" si="20"/>
        <v>234.08344505025045</v>
      </c>
      <c r="H423" s="9">
        <v>10322</v>
      </c>
    </row>
    <row r="424" spans="1:8">
      <c r="A424">
        <f t="shared" si="18"/>
        <v>1.28103548774387E-6</v>
      </c>
      <c r="B424" s="9">
        <v>1.2810354877438701</v>
      </c>
      <c r="C424">
        <f t="shared" si="19"/>
        <v>234023530860950.22</v>
      </c>
      <c r="D424">
        <f t="shared" si="20"/>
        <v>234.02353086095022</v>
      </c>
      <c r="H424" s="9">
        <v>10322</v>
      </c>
    </row>
    <row r="425" spans="1:8">
      <c r="A425">
        <f t="shared" si="18"/>
        <v>1.28136337168584E-6</v>
      </c>
      <c r="B425" s="9">
        <v>1.2813633716858399</v>
      </c>
      <c r="C425">
        <f t="shared" si="19"/>
        <v>233963647334147.5</v>
      </c>
      <c r="D425">
        <f t="shared" si="20"/>
        <v>233.96364733414751</v>
      </c>
      <c r="H425" s="9">
        <v>10394</v>
      </c>
    </row>
    <row r="426" spans="1:8">
      <c r="A426">
        <f t="shared" si="18"/>
        <v>1.2816912556278099E-6</v>
      </c>
      <c r="B426" s="9">
        <v>1.2816912556278099</v>
      </c>
      <c r="C426">
        <f t="shared" si="19"/>
        <v>233903794446309.81</v>
      </c>
      <c r="D426">
        <f t="shared" si="20"/>
        <v>233.9037944463098</v>
      </c>
      <c r="H426" s="9">
        <v>10394</v>
      </c>
    </row>
    <row r="427" spans="1:8">
      <c r="A427">
        <f t="shared" si="18"/>
        <v>1.28201913956978E-6</v>
      </c>
      <c r="B427" s="9">
        <v>1.28201913956978</v>
      </c>
      <c r="C427">
        <f t="shared" si="19"/>
        <v>233843972173928.97</v>
      </c>
      <c r="D427">
        <f t="shared" si="20"/>
        <v>233.84397217392896</v>
      </c>
      <c r="H427" s="9">
        <v>10394</v>
      </c>
    </row>
    <row r="428" spans="1:8">
      <c r="A428">
        <f t="shared" si="18"/>
        <v>1.2823470235117599E-6</v>
      </c>
      <c r="B428" s="9">
        <v>1.28234702351176</v>
      </c>
      <c r="C428">
        <f t="shared" si="19"/>
        <v>233784180493518.87</v>
      </c>
      <c r="D428">
        <f t="shared" si="20"/>
        <v>233.78418049351887</v>
      </c>
      <c r="H428" s="9">
        <v>10394</v>
      </c>
    </row>
    <row r="429" spans="1:8">
      <c r="A429">
        <f t="shared" si="18"/>
        <v>1.2826749074537301E-6</v>
      </c>
      <c r="B429" s="9">
        <v>1.28267490745373</v>
      </c>
      <c r="C429">
        <f t="shared" si="19"/>
        <v>233724419381622.94</v>
      </c>
      <c r="D429">
        <f t="shared" si="20"/>
        <v>233.72441938162294</v>
      </c>
      <c r="H429" s="9">
        <v>10394</v>
      </c>
    </row>
    <row r="430" spans="1:8">
      <c r="A430">
        <f t="shared" si="18"/>
        <v>1.2830027913957E-6</v>
      </c>
      <c r="B430" s="9">
        <v>1.2830027913957001</v>
      </c>
      <c r="C430">
        <f t="shared" si="19"/>
        <v>233664688814803.09</v>
      </c>
      <c r="D430">
        <f t="shared" si="20"/>
        <v>233.6646888148031</v>
      </c>
      <c r="H430" s="9">
        <v>10394</v>
      </c>
    </row>
    <row r="431" spans="1:8">
      <c r="A431">
        <f t="shared" si="18"/>
        <v>1.2833306753376702E-6</v>
      </c>
      <c r="B431" s="9">
        <v>1.2833306753376701</v>
      </c>
      <c r="C431">
        <f t="shared" si="19"/>
        <v>233604988769647.06</v>
      </c>
      <c r="D431">
        <f t="shared" si="20"/>
        <v>233.60498876964706</v>
      </c>
      <c r="H431" s="9">
        <v>10394</v>
      </c>
    </row>
    <row r="432" spans="1:8">
      <c r="A432">
        <f t="shared" si="18"/>
        <v>1.2836585592796399E-6</v>
      </c>
      <c r="B432" s="9">
        <v>1.2836585592796399</v>
      </c>
      <c r="C432">
        <f t="shared" si="19"/>
        <v>233545319222766.47</v>
      </c>
      <c r="D432">
        <f t="shared" si="20"/>
        <v>233.54531922276647</v>
      </c>
      <c r="H432" s="9">
        <v>10394</v>
      </c>
    </row>
    <row r="433" spans="1:8">
      <c r="A433">
        <f t="shared" si="18"/>
        <v>1.2839864432216098E-6</v>
      </c>
      <c r="B433" s="9">
        <v>1.2839864432216099</v>
      </c>
      <c r="C433">
        <f t="shared" si="19"/>
        <v>233485680150796.78</v>
      </c>
      <c r="D433">
        <f t="shared" si="20"/>
        <v>233.48568015079678</v>
      </c>
      <c r="H433" s="9">
        <v>10394</v>
      </c>
    </row>
    <row r="434" spans="1:8">
      <c r="A434">
        <f t="shared" si="18"/>
        <v>1.28431432716358E-6</v>
      </c>
      <c r="B434" s="9">
        <v>1.28431432716358</v>
      </c>
      <c r="C434">
        <f t="shared" si="19"/>
        <v>233426071530397.37</v>
      </c>
      <c r="D434">
        <f t="shared" si="20"/>
        <v>233.42607153039737</v>
      </c>
      <c r="H434" s="9">
        <v>10394</v>
      </c>
    </row>
    <row r="435" spans="1:8">
      <c r="A435">
        <f t="shared" si="18"/>
        <v>1.2846422111055499E-6</v>
      </c>
      <c r="B435" s="9">
        <v>1.28464221110555</v>
      </c>
      <c r="C435">
        <f t="shared" si="19"/>
        <v>233366493338251.5</v>
      </c>
      <c r="D435">
        <f t="shared" si="20"/>
        <v>233.3664933382515</v>
      </c>
      <c r="H435" s="9">
        <v>10394</v>
      </c>
    </row>
    <row r="436" spans="1:8">
      <c r="A436">
        <f t="shared" si="18"/>
        <v>1.2849700950475201E-6</v>
      </c>
      <c r="B436" s="9">
        <v>1.28497009504752</v>
      </c>
      <c r="C436">
        <f t="shared" si="19"/>
        <v>233306945551066.12</v>
      </c>
      <c r="D436">
        <f t="shared" si="20"/>
        <v>233.30694555106612</v>
      </c>
      <c r="H436" s="9">
        <v>10394</v>
      </c>
    </row>
    <row r="437" spans="1:8">
      <c r="A437">
        <f t="shared" si="18"/>
        <v>1.28529797898949E-6</v>
      </c>
      <c r="B437" s="9">
        <v>1.2852979789894901</v>
      </c>
      <c r="C437">
        <f t="shared" si="19"/>
        <v>233247428145572</v>
      </c>
      <c r="D437">
        <f t="shared" si="20"/>
        <v>233.247428145572</v>
      </c>
      <c r="H437" s="9">
        <v>10394</v>
      </c>
    </row>
    <row r="438" spans="1:8">
      <c r="A438">
        <f t="shared" si="18"/>
        <v>1.2856258629314701E-6</v>
      </c>
      <c r="B438" s="9">
        <v>1.2856258629314701</v>
      </c>
      <c r="C438">
        <f t="shared" si="19"/>
        <v>233187941098521.87</v>
      </c>
      <c r="D438">
        <f t="shared" si="20"/>
        <v>233.18794109852186</v>
      </c>
      <c r="H438" s="9">
        <v>10394</v>
      </c>
    </row>
    <row r="439" spans="1:8">
      <c r="A439">
        <f t="shared" si="18"/>
        <v>1.28595374687344E-6</v>
      </c>
      <c r="B439" s="9">
        <v>1.2859537468734401</v>
      </c>
      <c r="C439">
        <f t="shared" si="19"/>
        <v>233128484386697.56</v>
      </c>
      <c r="D439">
        <f t="shared" si="20"/>
        <v>233.12848438669755</v>
      </c>
      <c r="H439" s="9">
        <v>10394</v>
      </c>
    </row>
    <row r="440" spans="1:8">
      <c r="A440">
        <f t="shared" si="18"/>
        <v>1.28628163081541E-6</v>
      </c>
      <c r="B440" s="9">
        <v>1.2862816308154099</v>
      </c>
      <c r="C440">
        <f t="shared" si="19"/>
        <v>233069057986899.16</v>
      </c>
      <c r="D440">
        <f t="shared" si="20"/>
        <v>233.06905798689917</v>
      </c>
      <c r="H440" s="9">
        <v>10394</v>
      </c>
    </row>
    <row r="441" spans="1:8">
      <c r="A441">
        <f t="shared" si="18"/>
        <v>1.2866095147573799E-6</v>
      </c>
      <c r="B441" s="9">
        <v>1.2866095147573799</v>
      </c>
      <c r="C441">
        <f t="shared" si="19"/>
        <v>233009661875952.19</v>
      </c>
      <c r="D441">
        <f t="shared" si="20"/>
        <v>233.00966187595219</v>
      </c>
      <c r="H441" s="9">
        <v>10394</v>
      </c>
    </row>
    <row r="442" spans="1:8">
      <c r="A442">
        <f t="shared" si="18"/>
        <v>1.28693739869935E-6</v>
      </c>
      <c r="B442" s="9">
        <v>1.28693739869935</v>
      </c>
      <c r="C442">
        <f t="shared" si="19"/>
        <v>232950296030705.78</v>
      </c>
      <c r="D442">
        <f t="shared" si="20"/>
        <v>232.95029603070577</v>
      </c>
      <c r="H442" s="9">
        <v>10394</v>
      </c>
    </row>
    <row r="443" spans="1:8">
      <c r="A443">
        <f t="shared" si="18"/>
        <v>1.28726528264132E-6</v>
      </c>
      <c r="B443" s="9">
        <v>1.28726528264132</v>
      </c>
      <c r="C443">
        <f t="shared" si="19"/>
        <v>232890960428032.72</v>
      </c>
      <c r="D443">
        <f t="shared" si="20"/>
        <v>232.89096042803271</v>
      </c>
      <c r="H443" s="9">
        <v>10394</v>
      </c>
    </row>
    <row r="444" spans="1:8">
      <c r="A444">
        <f t="shared" si="18"/>
        <v>1.2875931665832901E-6</v>
      </c>
      <c r="B444" s="9">
        <v>1.28759316658329</v>
      </c>
      <c r="C444">
        <f t="shared" si="19"/>
        <v>232831655044829.28</v>
      </c>
      <c r="D444">
        <f t="shared" si="20"/>
        <v>232.83165504482929</v>
      </c>
      <c r="H444" s="9">
        <v>10394</v>
      </c>
    </row>
    <row r="445" spans="1:8">
      <c r="A445">
        <f t="shared" si="18"/>
        <v>1.2879210505252601E-6</v>
      </c>
      <c r="B445" s="9">
        <v>1.2879210505252601</v>
      </c>
      <c r="C445">
        <f t="shared" si="19"/>
        <v>232772379858015.34</v>
      </c>
      <c r="D445">
        <f t="shared" si="20"/>
        <v>232.77237985801534</v>
      </c>
      <c r="H445" s="9">
        <v>10394</v>
      </c>
    </row>
    <row r="446" spans="1:8">
      <c r="A446">
        <f t="shared" si="18"/>
        <v>1.28824893446723E-6</v>
      </c>
      <c r="B446" s="9">
        <v>1.2882489344672301</v>
      </c>
      <c r="C446">
        <f t="shared" si="19"/>
        <v>232713134844534.19</v>
      </c>
      <c r="D446">
        <f t="shared" si="20"/>
        <v>232.71313484453418</v>
      </c>
      <c r="H446" s="9">
        <v>10662</v>
      </c>
    </row>
    <row r="447" spans="1:8">
      <c r="A447">
        <f t="shared" si="18"/>
        <v>1.2885768184091999E-6</v>
      </c>
      <c r="B447" s="9">
        <v>1.2885768184091999</v>
      </c>
      <c r="C447">
        <f t="shared" si="19"/>
        <v>232653919981352.66</v>
      </c>
      <c r="D447">
        <f t="shared" si="20"/>
        <v>232.65391998135266</v>
      </c>
      <c r="H447" s="9">
        <v>10662</v>
      </c>
    </row>
    <row r="448" spans="1:8">
      <c r="A448">
        <f t="shared" si="18"/>
        <v>1.28890470235118E-6</v>
      </c>
      <c r="B448" s="9">
        <v>1.2889047023511799</v>
      </c>
      <c r="C448">
        <f t="shared" si="19"/>
        <v>232594735245459.12</v>
      </c>
      <c r="D448">
        <f t="shared" si="20"/>
        <v>232.59473524545913</v>
      </c>
      <c r="H448" s="9">
        <v>10662</v>
      </c>
    </row>
    <row r="449" spans="1:8">
      <c r="A449">
        <f t="shared" si="18"/>
        <v>1.28923258629315E-6</v>
      </c>
      <c r="B449" s="9">
        <v>1.28923258629315</v>
      </c>
      <c r="C449">
        <f t="shared" si="19"/>
        <v>232535580613870.87</v>
      </c>
      <c r="D449">
        <f t="shared" si="20"/>
        <v>232.53558061387088</v>
      </c>
      <c r="H449" s="9">
        <v>10662</v>
      </c>
    </row>
    <row r="450" spans="1:8">
      <c r="A450">
        <f t="shared" si="18"/>
        <v>1.2895604702351199E-6</v>
      </c>
      <c r="B450" s="9">
        <v>1.28956047023512</v>
      </c>
      <c r="C450">
        <f t="shared" si="19"/>
        <v>232476456063623.09</v>
      </c>
      <c r="D450">
        <f t="shared" si="20"/>
        <v>232.47645606362309</v>
      </c>
      <c r="H450" s="9">
        <v>10662</v>
      </c>
    </row>
    <row r="451" spans="1:8">
      <c r="A451">
        <f t="shared" si="18"/>
        <v>1.2898883541770901E-6</v>
      </c>
      <c r="B451" s="9">
        <v>1.28988835417709</v>
      </c>
      <c r="C451">
        <f t="shared" si="19"/>
        <v>232417361571776.16</v>
      </c>
      <c r="D451">
        <f t="shared" si="20"/>
        <v>232.41736157177615</v>
      </c>
      <c r="H451" s="9">
        <v>10662</v>
      </c>
    </row>
    <row r="452" spans="1:8">
      <c r="A452">
        <f t="shared" si="18"/>
        <v>1.29021623811906E-6</v>
      </c>
      <c r="B452" s="9">
        <v>1.2902162381190601</v>
      </c>
      <c r="C452">
        <f t="shared" si="19"/>
        <v>232358297115413.78</v>
      </c>
      <c r="D452">
        <f t="shared" si="20"/>
        <v>232.35829711541379</v>
      </c>
      <c r="H452" s="9">
        <v>10662</v>
      </c>
    </row>
    <row r="453" spans="1:8">
      <c r="A453">
        <f t="shared" si="18"/>
        <v>1.2905441220610301E-6</v>
      </c>
      <c r="B453" s="9">
        <v>1.2905441220610301</v>
      </c>
      <c r="C453">
        <f t="shared" si="19"/>
        <v>232299262671642.91</v>
      </c>
      <c r="D453">
        <f t="shared" si="20"/>
        <v>232.29926267164291</v>
      </c>
      <c r="H453" s="9">
        <v>10662</v>
      </c>
    </row>
    <row r="454" spans="1:8">
      <c r="A454">
        <f t="shared" si="18"/>
        <v>1.2908720060029999E-6</v>
      </c>
      <c r="B454" s="9">
        <v>1.2908720060029999</v>
      </c>
      <c r="C454">
        <f t="shared" si="19"/>
        <v>232240258217593.81</v>
      </c>
      <c r="D454">
        <f t="shared" si="20"/>
        <v>232.24025821759381</v>
      </c>
      <c r="H454" s="9">
        <v>10662</v>
      </c>
    </row>
    <row r="455" spans="1:8">
      <c r="A455">
        <f t="shared" ref="A455:A518" si="21">B455/1000000</f>
        <v>1.29119988994497E-6</v>
      </c>
      <c r="B455" s="9">
        <v>1.2911998899449699</v>
      </c>
      <c r="C455">
        <f t="shared" ref="C455:C518" si="22">wavelength_to_freq(B455)</f>
        <v>232181283730419.91</v>
      </c>
      <c r="D455">
        <f t="shared" ref="D455:D518" si="23">C455/1000000000000</f>
        <v>232.18128373041989</v>
      </c>
      <c r="H455" s="9">
        <v>10662</v>
      </c>
    </row>
    <row r="456" spans="1:8">
      <c r="A456">
        <f t="shared" si="21"/>
        <v>1.2915277738869399E-6</v>
      </c>
      <c r="B456" s="9">
        <v>1.29152777388694</v>
      </c>
      <c r="C456">
        <f t="shared" si="22"/>
        <v>232122339187297.84</v>
      </c>
      <c r="D456">
        <f t="shared" si="23"/>
        <v>232.12233918729785</v>
      </c>
      <c r="H456" s="9">
        <v>10662</v>
      </c>
    </row>
    <row r="457" spans="1:8">
      <c r="A457">
        <f t="shared" si="21"/>
        <v>1.2918556578289101E-6</v>
      </c>
      <c r="B457" s="9">
        <v>1.29185565782891</v>
      </c>
      <c r="C457">
        <f t="shared" si="22"/>
        <v>232063424565427.53</v>
      </c>
      <c r="D457">
        <f t="shared" si="23"/>
        <v>232.06342456542754</v>
      </c>
      <c r="H457" s="9">
        <v>10662</v>
      </c>
    </row>
    <row r="458" spans="1:8">
      <c r="A458">
        <f t="shared" si="21"/>
        <v>1.29218354177089E-6</v>
      </c>
      <c r="B458" s="9">
        <v>1.29218354177089</v>
      </c>
      <c r="C458">
        <f t="shared" si="22"/>
        <v>232004539842030.09</v>
      </c>
      <c r="D458">
        <f t="shared" si="23"/>
        <v>232.00453984203008</v>
      </c>
      <c r="H458" s="9">
        <v>10662</v>
      </c>
    </row>
    <row r="459" spans="1:8">
      <c r="A459">
        <f t="shared" si="21"/>
        <v>1.2925114257128601E-6</v>
      </c>
      <c r="B459" s="9">
        <v>1.29251142571286</v>
      </c>
      <c r="C459">
        <f t="shared" si="22"/>
        <v>231945684994355.22</v>
      </c>
      <c r="D459">
        <f t="shared" si="23"/>
        <v>231.94568499435522</v>
      </c>
      <c r="H459" s="9">
        <v>10662</v>
      </c>
    </row>
    <row r="460" spans="1:8">
      <c r="A460">
        <f t="shared" si="21"/>
        <v>1.2928393096548301E-6</v>
      </c>
      <c r="B460" s="9">
        <v>1.2928393096548301</v>
      </c>
      <c r="C460">
        <f t="shared" si="22"/>
        <v>231886859999670.31</v>
      </c>
      <c r="D460">
        <f t="shared" si="23"/>
        <v>231.88685999967032</v>
      </c>
      <c r="H460" s="9">
        <v>10662</v>
      </c>
    </row>
    <row r="461" spans="1:8">
      <c r="A461">
        <f t="shared" si="21"/>
        <v>1.2931671935968E-6</v>
      </c>
      <c r="B461" s="9">
        <v>1.2931671935968001</v>
      </c>
      <c r="C461">
        <f t="shared" si="22"/>
        <v>231828064835267.59</v>
      </c>
      <c r="D461">
        <f t="shared" si="23"/>
        <v>231.82806483526758</v>
      </c>
      <c r="H461" s="9">
        <v>10662</v>
      </c>
    </row>
    <row r="462" spans="1:8">
      <c r="A462">
        <f t="shared" si="21"/>
        <v>1.2934950775387699E-6</v>
      </c>
      <c r="B462" s="9">
        <v>1.2934950775387699</v>
      </c>
      <c r="C462">
        <f t="shared" si="22"/>
        <v>231769299478462.31</v>
      </c>
      <c r="D462">
        <f t="shared" si="23"/>
        <v>231.7692994784623</v>
      </c>
      <c r="H462" s="9">
        <v>10662</v>
      </c>
    </row>
    <row r="463" spans="1:8">
      <c r="A463">
        <f t="shared" si="21"/>
        <v>1.2938229614807399E-6</v>
      </c>
      <c r="B463" s="9">
        <v>1.2938229614807399</v>
      </c>
      <c r="C463">
        <f t="shared" si="22"/>
        <v>231710563906592.69</v>
      </c>
      <c r="D463">
        <f t="shared" si="23"/>
        <v>231.71056390659268</v>
      </c>
      <c r="H463" s="9">
        <v>10662</v>
      </c>
    </row>
    <row r="464" spans="1:8">
      <c r="A464">
        <f t="shared" si="21"/>
        <v>1.29415084542271E-6</v>
      </c>
      <c r="B464" s="9">
        <v>1.29415084542271</v>
      </c>
      <c r="C464">
        <f t="shared" si="22"/>
        <v>231651858097019.94</v>
      </c>
      <c r="D464">
        <f t="shared" si="23"/>
        <v>231.65185809701993</v>
      </c>
      <c r="H464" s="9">
        <v>10662</v>
      </c>
    </row>
    <row r="465" spans="1:8">
      <c r="A465">
        <f t="shared" si="21"/>
        <v>1.29447872936468E-6</v>
      </c>
      <c r="B465" s="9">
        <v>1.29447872936468</v>
      </c>
      <c r="C465">
        <f t="shared" si="22"/>
        <v>231593182027128.22</v>
      </c>
      <c r="D465">
        <f t="shared" si="23"/>
        <v>231.59318202712822</v>
      </c>
      <c r="H465" s="9">
        <v>10662</v>
      </c>
    </row>
    <row r="466" spans="1:8">
      <c r="A466">
        <f t="shared" si="21"/>
        <v>1.2948066133066501E-6</v>
      </c>
      <c r="B466" s="9">
        <v>1.29480661330665</v>
      </c>
      <c r="C466">
        <f t="shared" si="22"/>
        <v>231534535674324.62</v>
      </c>
      <c r="D466">
        <f t="shared" si="23"/>
        <v>231.53453567432462</v>
      </c>
      <c r="H466" s="9">
        <v>10662</v>
      </c>
    </row>
    <row r="467" spans="1:8">
      <c r="A467">
        <f t="shared" si="21"/>
        <v>1.29513449724862E-6</v>
      </c>
      <c r="B467" s="9">
        <v>1.2951344972486201</v>
      </c>
      <c r="C467">
        <f t="shared" si="22"/>
        <v>231475919016039.03</v>
      </c>
      <c r="D467">
        <f t="shared" si="23"/>
        <v>231.47591901603903</v>
      </c>
      <c r="H467" s="9">
        <v>10662</v>
      </c>
    </row>
    <row r="468" spans="1:8">
      <c r="A468">
        <f t="shared" si="21"/>
        <v>1.2954623811906001E-6</v>
      </c>
      <c r="B468" s="9">
        <v>1.2954623811906001</v>
      </c>
      <c r="C468">
        <f t="shared" si="22"/>
        <v>231417332029722.47</v>
      </c>
      <c r="D468">
        <f t="shared" si="23"/>
        <v>231.41733202972247</v>
      </c>
      <c r="H468" s="9">
        <v>10662</v>
      </c>
    </row>
    <row r="469" spans="1:8">
      <c r="A469">
        <f t="shared" si="21"/>
        <v>1.2957902651325699E-6</v>
      </c>
      <c r="B469" s="9">
        <v>1.2957902651325699</v>
      </c>
      <c r="C469">
        <f t="shared" si="22"/>
        <v>231358774692854.16</v>
      </c>
      <c r="D469">
        <f t="shared" si="23"/>
        <v>231.35877469285415</v>
      </c>
      <c r="H469" s="9">
        <v>10662</v>
      </c>
    </row>
    <row r="470" spans="1:8">
      <c r="A470">
        <f t="shared" si="21"/>
        <v>1.29611814907454E-6</v>
      </c>
      <c r="B470" s="9">
        <v>1.2961181490745399</v>
      </c>
      <c r="C470">
        <f t="shared" si="22"/>
        <v>231300246982930.62</v>
      </c>
      <c r="D470">
        <f t="shared" si="23"/>
        <v>231.30024698293062</v>
      </c>
      <c r="H470" s="9">
        <v>10662</v>
      </c>
    </row>
    <row r="471" spans="1:8">
      <c r="A471">
        <f t="shared" si="21"/>
        <v>1.2964460330165099E-6</v>
      </c>
      <c r="B471" s="9">
        <v>1.29644603301651</v>
      </c>
      <c r="C471">
        <f t="shared" si="22"/>
        <v>231241748877473.09</v>
      </c>
      <c r="D471">
        <f t="shared" si="23"/>
        <v>231.2417488774731</v>
      </c>
      <c r="H471" s="9">
        <v>10662</v>
      </c>
    </row>
    <row r="472" spans="1:8">
      <c r="A472">
        <f t="shared" si="21"/>
        <v>1.2967739169584801E-6</v>
      </c>
      <c r="B472" s="9">
        <v>1.29677391695848</v>
      </c>
      <c r="C472">
        <f t="shared" si="22"/>
        <v>231183280354025.44</v>
      </c>
      <c r="D472">
        <f t="shared" si="23"/>
        <v>231.18328035402544</v>
      </c>
      <c r="H472" s="9">
        <v>10662</v>
      </c>
    </row>
    <row r="473" spans="1:8">
      <c r="A473">
        <f t="shared" si="21"/>
        <v>1.29710180090045E-6</v>
      </c>
      <c r="B473" s="9">
        <v>1.29710180090045</v>
      </c>
      <c r="C473">
        <f t="shared" si="22"/>
        <v>231124841390154.28</v>
      </c>
      <c r="D473">
        <f t="shared" si="23"/>
        <v>231.12484139015427</v>
      </c>
      <c r="H473" s="9">
        <v>10662</v>
      </c>
    </row>
    <row r="474" spans="1:8">
      <c r="A474">
        <f t="shared" si="21"/>
        <v>1.29742968484242E-6</v>
      </c>
      <c r="B474" s="9">
        <v>1.2974296848424201</v>
      </c>
      <c r="C474">
        <f t="shared" si="22"/>
        <v>231066431963448.91</v>
      </c>
      <c r="D474">
        <f t="shared" si="23"/>
        <v>231.06643196344891</v>
      </c>
      <c r="H474" s="9">
        <v>10662</v>
      </c>
    </row>
    <row r="475" spans="1:8">
      <c r="A475">
        <f t="shared" si="21"/>
        <v>1.2977575687843901E-6</v>
      </c>
      <c r="B475" s="9">
        <v>1.2977575687843901</v>
      </c>
      <c r="C475">
        <f t="shared" si="22"/>
        <v>231008052051521.22</v>
      </c>
      <c r="D475">
        <f t="shared" si="23"/>
        <v>231.00805205152122</v>
      </c>
      <c r="H475" s="9">
        <v>10662</v>
      </c>
    </row>
    <row r="476" spans="1:8">
      <c r="A476">
        <f t="shared" si="21"/>
        <v>1.2980854527263598E-6</v>
      </c>
      <c r="B476" s="9">
        <v>1.2980854527263599</v>
      </c>
      <c r="C476">
        <f t="shared" si="22"/>
        <v>230949701632005.81</v>
      </c>
      <c r="D476">
        <f t="shared" si="23"/>
        <v>230.94970163200583</v>
      </c>
      <c r="H476" s="9">
        <v>10662</v>
      </c>
    </row>
    <row r="477" spans="1:8">
      <c r="A477">
        <f t="shared" si="21"/>
        <v>1.29841333666833E-6</v>
      </c>
      <c r="B477" s="9">
        <v>1.2984133366683299</v>
      </c>
      <c r="C477">
        <f t="shared" si="22"/>
        <v>230891380682559.75</v>
      </c>
      <c r="D477">
        <f t="shared" si="23"/>
        <v>230.89138068255974</v>
      </c>
      <c r="H477" s="9">
        <v>10662</v>
      </c>
    </row>
    <row r="478" spans="1:8">
      <c r="A478">
        <f t="shared" si="21"/>
        <v>1.2987412206103099E-6</v>
      </c>
      <c r="B478" s="9">
        <v>1.2987412206103099</v>
      </c>
      <c r="C478">
        <f t="shared" si="22"/>
        <v>230833089180861.03</v>
      </c>
      <c r="D478">
        <f t="shared" si="23"/>
        <v>230.83308918086104</v>
      </c>
      <c r="H478" s="9">
        <v>10662</v>
      </c>
    </row>
    <row r="479" spans="1:8">
      <c r="A479">
        <f t="shared" si="21"/>
        <v>1.29906910455228E-6</v>
      </c>
      <c r="B479" s="9">
        <v>1.29906910455228</v>
      </c>
      <c r="C479">
        <f t="shared" si="22"/>
        <v>230774827104615.44</v>
      </c>
      <c r="D479">
        <f t="shared" si="23"/>
        <v>230.77482710461544</v>
      </c>
      <c r="H479" s="9">
        <v>10662</v>
      </c>
    </row>
    <row r="480" spans="1:8">
      <c r="A480">
        <f t="shared" si="21"/>
        <v>1.29939698849425E-6</v>
      </c>
      <c r="B480" s="9">
        <v>1.29939698849425</v>
      </c>
      <c r="C480">
        <f t="shared" si="22"/>
        <v>230716594431545.91</v>
      </c>
      <c r="D480">
        <f t="shared" si="23"/>
        <v>230.7165944315459</v>
      </c>
      <c r="H480" s="9">
        <v>10662</v>
      </c>
    </row>
    <row r="481" spans="1:8">
      <c r="A481">
        <f t="shared" si="21"/>
        <v>1.2997248724362201E-6</v>
      </c>
      <c r="B481" s="9">
        <v>1.29972487243622</v>
      </c>
      <c r="C481">
        <f t="shared" si="22"/>
        <v>230658391139399.69</v>
      </c>
      <c r="D481">
        <f t="shared" si="23"/>
        <v>230.6583911393997</v>
      </c>
      <c r="H481" s="9">
        <v>10866</v>
      </c>
    </row>
    <row r="482" spans="1:8">
      <c r="A482">
        <f t="shared" si="21"/>
        <v>1.30005275637819E-6</v>
      </c>
      <c r="B482" s="9">
        <v>1.3000527563781901</v>
      </c>
      <c r="C482">
        <f t="shared" si="22"/>
        <v>230600217205946.44</v>
      </c>
      <c r="D482">
        <f t="shared" si="23"/>
        <v>230.60021720594645</v>
      </c>
      <c r="H482" s="9">
        <v>10866</v>
      </c>
    </row>
    <row r="483" spans="1:8">
      <c r="A483">
        <f t="shared" si="21"/>
        <v>1.3003806403201602E-6</v>
      </c>
      <c r="B483" s="9">
        <v>1.3003806403201601</v>
      </c>
      <c r="C483">
        <f t="shared" si="22"/>
        <v>230542072608978.28</v>
      </c>
      <c r="D483">
        <f t="shared" si="23"/>
        <v>230.54207260897829</v>
      </c>
      <c r="H483" s="9">
        <v>10866</v>
      </c>
    </row>
    <row r="484" spans="1:8">
      <c r="A484">
        <f t="shared" si="21"/>
        <v>1.3007085242621299E-6</v>
      </c>
      <c r="B484" s="9">
        <v>1.3007085242621299</v>
      </c>
      <c r="C484">
        <f t="shared" si="22"/>
        <v>230483957326309.69</v>
      </c>
      <c r="D484">
        <f t="shared" si="23"/>
        <v>230.48395732630968</v>
      </c>
      <c r="H484" s="9">
        <v>10866</v>
      </c>
    </row>
    <row r="485" spans="1:8">
      <c r="A485">
        <f t="shared" si="21"/>
        <v>1.3010364082040998E-6</v>
      </c>
      <c r="B485" s="9">
        <v>1.3010364082040999</v>
      </c>
      <c r="C485">
        <f t="shared" si="22"/>
        <v>230425871335777.47</v>
      </c>
      <c r="D485">
        <f t="shared" si="23"/>
        <v>230.42587133577746</v>
      </c>
      <c r="H485" s="9">
        <v>10866</v>
      </c>
    </row>
    <row r="486" spans="1:8">
      <c r="A486">
        <f t="shared" si="21"/>
        <v>1.30136429214607E-6</v>
      </c>
      <c r="B486" s="9">
        <v>1.30136429214607</v>
      </c>
      <c r="C486">
        <f t="shared" si="22"/>
        <v>230367814615240.87</v>
      </c>
      <c r="D486">
        <f t="shared" si="23"/>
        <v>230.36781461524089</v>
      </c>
      <c r="H486" s="9">
        <v>10866</v>
      </c>
    </row>
    <row r="487" spans="1:8">
      <c r="A487">
        <f t="shared" si="21"/>
        <v>1.3016921760880399E-6</v>
      </c>
      <c r="B487" s="9">
        <v>1.30169217608804</v>
      </c>
      <c r="C487">
        <f t="shared" si="22"/>
        <v>230309787142581.34</v>
      </c>
      <c r="D487">
        <f t="shared" si="23"/>
        <v>230.30978714258134</v>
      </c>
      <c r="H487" s="9">
        <v>10866</v>
      </c>
    </row>
    <row r="488" spans="1:8">
      <c r="A488">
        <f t="shared" si="21"/>
        <v>1.3020200600300101E-6</v>
      </c>
      <c r="B488" s="9">
        <v>1.30202006003001</v>
      </c>
      <c r="C488">
        <f t="shared" si="22"/>
        <v>230251788895702.69</v>
      </c>
      <c r="D488">
        <f t="shared" si="23"/>
        <v>230.25178889570267</v>
      </c>
      <c r="H488" s="9">
        <v>10866</v>
      </c>
    </row>
    <row r="489" spans="1:8">
      <c r="A489">
        <f t="shared" si="21"/>
        <v>1.30234794397199E-6</v>
      </c>
      <c r="B489" s="9">
        <v>1.3023479439719901</v>
      </c>
      <c r="C489">
        <f t="shared" si="22"/>
        <v>230193819852529.16</v>
      </c>
      <c r="D489">
        <f t="shared" si="23"/>
        <v>230.19381985252915</v>
      </c>
      <c r="H489" s="9">
        <v>10866</v>
      </c>
    </row>
    <row r="490" spans="1:8">
      <c r="A490">
        <f t="shared" si="21"/>
        <v>1.3026758279139601E-6</v>
      </c>
      <c r="B490" s="9">
        <v>1.3026758279139601</v>
      </c>
      <c r="C490">
        <f t="shared" si="22"/>
        <v>230135879991012.53</v>
      </c>
      <c r="D490">
        <f t="shared" si="23"/>
        <v>230.13587999101253</v>
      </c>
      <c r="H490" s="9">
        <v>10866</v>
      </c>
    </row>
    <row r="491" spans="1:8">
      <c r="A491">
        <f t="shared" si="21"/>
        <v>1.3030037118559298E-6</v>
      </c>
      <c r="B491" s="9">
        <v>1.3030037118559299</v>
      </c>
      <c r="C491">
        <f t="shared" si="22"/>
        <v>230077969289121.53</v>
      </c>
      <c r="D491">
        <f t="shared" si="23"/>
        <v>230.07796928912154</v>
      </c>
      <c r="H491" s="9">
        <v>10866</v>
      </c>
    </row>
    <row r="492" spans="1:8">
      <c r="A492">
        <f t="shared" si="21"/>
        <v>1.3033315957979E-6</v>
      </c>
      <c r="B492" s="9">
        <v>1.3033315957978999</v>
      </c>
      <c r="C492">
        <f t="shared" si="22"/>
        <v>230020087724848.72</v>
      </c>
      <c r="D492">
        <f t="shared" si="23"/>
        <v>230.02008772484871</v>
      </c>
      <c r="H492" s="9">
        <v>10866</v>
      </c>
    </row>
    <row r="493" spans="1:8">
      <c r="A493">
        <f t="shared" si="21"/>
        <v>1.3036594797398699E-6</v>
      </c>
      <c r="B493" s="9">
        <v>1.30365947973987</v>
      </c>
      <c r="C493">
        <f t="shared" si="22"/>
        <v>229962235276208.84</v>
      </c>
      <c r="D493">
        <f t="shared" si="23"/>
        <v>229.96223527620884</v>
      </c>
      <c r="H493" s="9">
        <v>10866</v>
      </c>
    </row>
    <row r="494" spans="1:8">
      <c r="A494">
        <f t="shared" si="21"/>
        <v>1.3039873636818401E-6</v>
      </c>
      <c r="B494" s="9">
        <v>1.30398736368184</v>
      </c>
      <c r="C494">
        <f t="shared" si="22"/>
        <v>229904411921238.81</v>
      </c>
      <c r="D494">
        <f t="shared" si="23"/>
        <v>229.90441192123882</v>
      </c>
      <c r="H494" s="9">
        <v>10866</v>
      </c>
    </row>
    <row r="495" spans="1:8">
      <c r="A495">
        <f t="shared" si="21"/>
        <v>1.30431524762381E-6</v>
      </c>
      <c r="B495" s="9">
        <v>1.30431524762381</v>
      </c>
      <c r="C495">
        <f t="shared" si="22"/>
        <v>229846617637997.59</v>
      </c>
      <c r="D495">
        <f t="shared" si="23"/>
        <v>229.84661763799758</v>
      </c>
      <c r="H495" s="9">
        <v>10866</v>
      </c>
    </row>
    <row r="496" spans="1:8">
      <c r="A496">
        <f t="shared" si="21"/>
        <v>1.3046431315657801E-6</v>
      </c>
      <c r="B496" s="9">
        <v>1.30464313156578</v>
      </c>
      <c r="C496">
        <f t="shared" si="22"/>
        <v>229788852404566.16</v>
      </c>
      <c r="D496">
        <f t="shared" si="23"/>
        <v>229.78885240456614</v>
      </c>
      <c r="H496" s="9">
        <v>10866</v>
      </c>
    </row>
    <row r="497" spans="1:8">
      <c r="A497">
        <f t="shared" si="21"/>
        <v>1.3049710155077501E-6</v>
      </c>
      <c r="B497" s="9">
        <v>1.3049710155077501</v>
      </c>
      <c r="C497">
        <f t="shared" si="22"/>
        <v>229731116199047.53</v>
      </c>
      <c r="D497">
        <f t="shared" si="23"/>
        <v>229.73111619904753</v>
      </c>
      <c r="H497" s="9">
        <v>10866</v>
      </c>
    </row>
    <row r="498" spans="1:8">
      <c r="A498">
        <f t="shared" si="21"/>
        <v>1.30529889944972E-6</v>
      </c>
      <c r="B498" s="9">
        <v>1.3052988994497201</v>
      </c>
      <c r="C498">
        <f t="shared" si="22"/>
        <v>229673408999566.81</v>
      </c>
      <c r="D498">
        <f t="shared" si="23"/>
        <v>229.67340899956682</v>
      </c>
      <c r="H498" s="9">
        <v>10866</v>
      </c>
    </row>
    <row r="499" spans="1:8">
      <c r="A499">
        <f t="shared" si="21"/>
        <v>1.3056267833916999E-6</v>
      </c>
      <c r="B499" s="9">
        <v>1.3056267833916999</v>
      </c>
      <c r="C499">
        <f t="shared" si="22"/>
        <v>229615730784269.25</v>
      </c>
      <c r="D499">
        <f t="shared" si="23"/>
        <v>229.61573078426926</v>
      </c>
      <c r="H499" s="9">
        <v>10866</v>
      </c>
    </row>
    <row r="500" spans="1:8">
      <c r="A500">
        <f t="shared" si="21"/>
        <v>1.3059546673336698E-6</v>
      </c>
      <c r="B500" s="9">
        <v>1.3059546673336699</v>
      </c>
      <c r="C500">
        <f t="shared" si="22"/>
        <v>229558081531327.28</v>
      </c>
      <c r="D500">
        <f t="shared" si="23"/>
        <v>229.55808153132728</v>
      </c>
      <c r="H500" s="9">
        <v>10866</v>
      </c>
    </row>
    <row r="501" spans="1:8">
      <c r="A501">
        <f t="shared" si="21"/>
        <v>1.30628255127564E-6</v>
      </c>
      <c r="B501" s="9">
        <v>1.30628255127564</v>
      </c>
      <c r="C501">
        <f t="shared" si="22"/>
        <v>229500461218930.03</v>
      </c>
      <c r="D501">
        <f t="shared" si="23"/>
        <v>229.50046121893004</v>
      </c>
      <c r="H501" s="9">
        <v>10866</v>
      </c>
    </row>
    <row r="502" spans="1:8">
      <c r="A502">
        <f t="shared" si="21"/>
        <v>1.3066104352176099E-6</v>
      </c>
      <c r="B502" s="9">
        <v>1.30661043521761</v>
      </c>
      <c r="C502">
        <f t="shared" si="22"/>
        <v>229442869825290.31</v>
      </c>
      <c r="D502">
        <f t="shared" si="23"/>
        <v>229.4428698252903</v>
      </c>
      <c r="H502" s="9">
        <v>10866</v>
      </c>
    </row>
    <row r="503" spans="1:8">
      <c r="A503">
        <f t="shared" si="21"/>
        <v>1.3069383191595801E-6</v>
      </c>
      <c r="B503" s="9">
        <v>1.30693831915958</v>
      </c>
      <c r="C503">
        <f t="shared" si="22"/>
        <v>229385307328642.72</v>
      </c>
      <c r="D503">
        <f t="shared" si="23"/>
        <v>229.38530732864271</v>
      </c>
      <c r="H503" s="9">
        <v>10866</v>
      </c>
    </row>
    <row r="504" spans="1:8">
      <c r="A504">
        <f t="shared" si="21"/>
        <v>1.30726620310155E-6</v>
      </c>
      <c r="B504" s="9">
        <v>1.3072662031015501</v>
      </c>
      <c r="C504">
        <f t="shared" si="22"/>
        <v>229327773707243.75</v>
      </c>
      <c r="D504">
        <f t="shared" si="23"/>
        <v>229.32777370724375</v>
      </c>
      <c r="H504" s="9">
        <v>10866</v>
      </c>
    </row>
    <row r="505" spans="1:8">
      <c r="A505">
        <f t="shared" si="21"/>
        <v>1.3075940870435202E-6</v>
      </c>
      <c r="B505" s="9">
        <v>1.3075940870435201</v>
      </c>
      <c r="C505">
        <f t="shared" si="22"/>
        <v>229270268939371.66</v>
      </c>
      <c r="D505">
        <f t="shared" si="23"/>
        <v>229.27026893937165</v>
      </c>
      <c r="H505" s="9">
        <v>10866</v>
      </c>
    </row>
    <row r="506" spans="1:8">
      <c r="A506">
        <f t="shared" si="21"/>
        <v>1.3079219709854899E-6</v>
      </c>
      <c r="B506" s="9">
        <v>1.3079219709854899</v>
      </c>
      <c r="C506">
        <f t="shared" si="22"/>
        <v>229212793003326.56</v>
      </c>
      <c r="D506">
        <f t="shared" si="23"/>
        <v>229.21279300332657</v>
      </c>
      <c r="H506" s="9">
        <v>10866</v>
      </c>
    </row>
    <row r="507" spans="1:8">
      <c r="A507">
        <f t="shared" si="21"/>
        <v>1.30824985492746E-6</v>
      </c>
      <c r="B507" s="9">
        <v>1.3082498549274599</v>
      </c>
      <c r="C507">
        <f t="shared" si="22"/>
        <v>229155345877430.22</v>
      </c>
      <c r="D507">
        <f t="shared" si="23"/>
        <v>229.15534587743022</v>
      </c>
      <c r="H507" s="9">
        <v>10866</v>
      </c>
    </row>
    <row r="508" spans="1:8">
      <c r="A508">
        <f t="shared" si="21"/>
        <v>1.30857773886943E-6</v>
      </c>
      <c r="B508" s="9">
        <v>1.30857773886943</v>
      </c>
      <c r="C508">
        <f t="shared" si="22"/>
        <v>229097927540026.22</v>
      </c>
      <c r="D508">
        <f t="shared" si="23"/>
        <v>229.09792754002621</v>
      </c>
      <c r="H508" s="9">
        <v>10866</v>
      </c>
    </row>
    <row r="509" spans="1:8">
      <c r="A509">
        <f t="shared" si="21"/>
        <v>1.3089056228114101E-6</v>
      </c>
      <c r="B509" s="9">
        <v>1.30890562281141</v>
      </c>
      <c r="C509">
        <f t="shared" si="22"/>
        <v>229040537969478</v>
      </c>
      <c r="D509">
        <f t="shared" si="23"/>
        <v>229.04053796947801</v>
      </c>
      <c r="H509" s="9">
        <v>10866</v>
      </c>
    </row>
    <row r="510" spans="1:8">
      <c r="A510">
        <f t="shared" si="21"/>
        <v>1.30923350675338E-6</v>
      </c>
      <c r="B510" s="9">
        <v>1.30923350675338</v>
      </c>
      <c r="C510">
        <f t="shared" si="22"/>
        <v>228983177144176.03</v>
      </c>
      <c r="D510">
        <f t="shared" si="23"/>
        <v>228.98317714417604</v>
      </c>
      <c r="H510" s="9">
        <v>10866</v>
      </c>
    </row>
    <row r="511" spans="1:8">
      <c r="A511">
        <f t="shared" si="21"/>
        <v>1.3095613906953501E-6</v>
      </c>
      <c r="B511" s="9">
        <v>1.30956139069535</v>
      </c>
      <c r="C511">
        <f t="shared" si="22"/>
        <v>228925845042527.09</v>
      </c>
      <c r="D511">
        <f t="shared" si="23"/>
        <v>228.9258450425271</v>
      </c>
      <c r="H511" s="9">
        <v>10866</v>
      </c>
    </row>
    <row r="512" spans="1:8">
      <c r="A512">
        <f t="shared" si="21"/>
        <v>1.3098892746373201E-6</v>
      </c>
      <c r="B512" s="9">
        <v>1.3098892746373201</v>
      </c>
      <c r="C512">
        <f t="shared" si="22"/>
        <v>228868541642961.41</v>
      </c>
      <c r="D512">
        <f t="shared" si="23"/>
        <v>228.86854164296142</v>
      </c>
      <c r="H512" s="9">
        <v>10866</v>
      </c>
    </row>
    <row r="513" spans="1:8">
      <c r="A513">
        <f t="shared" si="21"/>
        <v>1.31021715857929E-6</v>
      </c>
      <c r="B513" s="9">
        <v>1.3102171585792901</v>
      </c>
      <c r="C513">
        <f t="shared" si="22"/>
        <v>228811266923930.72</v>
      </c>
      <c r="D513">
        <f t="shared" si="23"/>
        <v>228.81126692393073</v>
      </c>
      <c r="H513" s="9">
        <v>10866</v>
      </c>
    </row>
    <row r="514" spans="1:8">
      <c r="A514">
        <f t="shared" si="21"/>
        <v>1.31054504252126E-6</v>
      </c>
      <c r="B514" s="9">
        <v>1.3105450425212599</v>
      </c>
      <c r="C514">
        <f t="shared" si="22"/>
        <v>228754020863908.37</v>
      </c>
      <c r="D514">
        <f t="shared" si="23"/>
        <v>228.75402086390838</v>
      </c>
      <c r="H514" s="9">
        <v>10866</v>
      </c>
    </row>
    <row r="515" spans="1:8">
      <c r="A515">
        <f t="shared" si="21"/>
        <v>1.3108729264632299E-6</v>
      </c>
      <c r="B515" s="9">
        <v>1.3108729264632299</v>
      </c>
      <c r="C515">
        <f t="shared" si="22"/>
        <v>228696803441389.25</v>
      </c>
      <c r="D515">
        <f t="shared" si="23"/>
        <v>228.69680344138925</v>
      </c>
      <c r="H515" s="9">
        <v>10866</v>
      </c>
    </row>
    <row r="516" spans="1:8">
      <c r="A516">
        <f t="shared" si="21"/>
        <v>1.3112008104052E-6</v>
      </c>
      <c r="B516" s="9">
        <v>1.3112008104052</v>
      </c>
      <c r="C516">
        <f t="shared" si="22"/>
        <v>228639614634889.69</v>
      </c>
      <c r="D516">
        <f t="shared" si="23"/>
        <v>228.63961463488968</v>
      </c>
      <c r="H516" s="9">
        <v>10866</v>
      </c>
    </row>
    <row r="517" spans="1:8">
      <c r="A517">
        <f t="shared" si="21"/>
        <v>1.31152869434717E-6</v>
      </c>
      <c r="B517" s="9">
        <v>1.31152869434717</v>
      </c>
      <c r="C517">
        <f t="shared" si="22"/>
        <v>228582454422947.62</v>
      </c>
      <c r="D517">
        <f t="shared" si="23"/>
        <v>228.58245442294762</v>
      </c>
      <c r="H517" s="9">
        <v>10866</v>
      </c>
    </row>
    <row r="518" spans="1:8">
      <c r="A518">
        <f t="shared" si="21"/>
        <v>1.3118565782891401E-6</v>
      </c>
      <c r="B518" s="9">
        <v>1.31185657828914</v>
      </c>
      <c r="C518">
        <f t="shared" si="22"/>
        <v>228525322784122.34</v>
      </c>
      <c r="D518">
        <f t="shared" si="23"/>
        <v>228.52532278412235</v>
      </c>
      <c r="H518" s="9">
        <v>10866</v>
      </c>
    </row>
    <row r="519" spans="1:8">
      <c r="A519">
        <f t="shared" ref="A519:A582" si="24">B519/1000000</f>
        <v>1.31218446223112E-6</v>
      </c>
      <c r="B519" s="9">
        <v>1.3121844622311201</v>
      </c>
      <c r="C519">
        <f t="shared" ref="C519:C582" si="25">wavelength_to_freq(B519)</f>
        <v>228468219696992.87</v>
      </c>
      <c r="D519">
        <f t="shared" ref="D519:D582" si="26">C519/1000000000000</f>
        <v>228.46821969699286</v>
      </c>
      <c r="H519" s="9">
        <v>10866</v>
      </c>
    </row>
    <row r="520" spans="1:8">
      <c r="A520">
        <f t="shared" si="24"/>
        <v>1.3125123461730902E-6</v>
      </c>
      <c r="B520" s="9">
        <v>1.3125123461730901</v>
      </c>
      <c r="C520">
        <f t="shared" si="25"/>
        <v>228411145140164.87</v>
      </c>
      <c r="D520">
        <f t="shared" si="26"/>
        <v>228.41114514016488</v>
      </c>
      <c r="H520" s="9">
        <v>10866</v>
      </c>
    </row>
    <row r="521" spans="1:8">
      <c r="A521">
        <f t="shared" si="24"/>
        <v>1.3128402301150599E-6</v>
      </c>
      <c r="B521" s="9">
        <v>1.3128402301150599</v>
      </c>
      <c r="C521">
        <f t="shared" si="25"/>
        <v>228354099092260.16</v>
      </c>
      <c r="D521">
        <f t="shared" si="26"/>
        <v>228.35409909226016</v>
      </c>
      <c r="H521" s="9">
        <v>10866</v>
      </c>
    </row>
    <row r="522" spans="1:8">
      <c r="A522">
        <f t="shared" si="24"/>
        <v>1.31316811405703E-6</v>
      </c>
      <c r="B522" s="9">
        <v>1.3131681140570299</v>
      </c>
      <c r="C522">
        <f t="shared" si="25"/>
        <v>228297081531923.5</v>
      </c>
      <c r="D522">
        <f t="shared" si="26"/>
        <v>228.29708153192351</v>
      </c>
      <c r="H522" s="9">
        <v>10866</v>
      </c>
    </row>
    <row r="523" spans="1:8">
      <c r="A523">
        <f t="shared" si="24"/>
        <v>1.313495997999E-6</v>
      </c>
      <c r="B523" s="9">
        <v>1.313495997999</v>
      </c>
      <c r="C523">
        <f t="shared" si="25"/>
        <v>228240092437821.22</v>
      </c>
      <c r="D523">
        <f t="shared" si="26"/>
        <v>228.24009243782123</v>
      </c>
      <c r="H523" s="9">
        <v>10866</v>
      </c>
    </row>
    <row r="524" spans="1:8">
      <c r="A524">
        <f t="shared" si="24"/>
        <v>1.3138238819409699E-6</v>
      </c>
      <c r="B524" s="9">
        <v>1.31382388194097</v>
      </c>
      <c r="C524">
        <f t="shared" si="25"/>
        <v>228183131788640.78</v>
      </c>
      <c r="D524">
        <f t="shared" si="26"/>
        <v>228.18313178864079</v>
      </c>
      <c r="H524" s="9">
        <v>10866</v>
      </c>
    </row>
    <row r="525" spans="1:8">
      <c r="A525">
        <f t="shared" si="24"/>
        <v>1.31415176588294E-6</v>
      </c>
      <c r="B525" s="9">
        <v>1.31415176588294</v>
      </c>
      <c r="C525">
        <f t="shared" si="25"/>
        <v>228126199563091</v>
      </c>
      <c r="D525">
        <f t="shared" si="26"/>
        <v>228.12619956309101</v>
      </c>
      <c r="H525" s="9">
        <v>10866</v>
      </c>
    </row>
    <row r="526" spans="1:8">
      <c r="A526">
        <f t="shared" si="24"/>
        <v>1.31447964982491E-6</v>
      </c>
      <c r="B526" s="9">
        <v>1.3144796498249101</v>
      </c>
      <c r="C526">
        <f t="shared" si="25"/>
        <v>228069295739901.81</v>
      </c>
      <c r="D526">
        <f t="shared" si="26"/>
        <v>228.0692957399018</v>
      </c>
      <c r="H526" s="9">
        <v>10866</v>
      </c>
    </row>
    <row r="527" spans="1:8">
      <c r="A527">
        <f t="shared" si="24"/>
        <v>1.3148075337668801E-6</v>
      </c>
      <c r="B527" s="9">
        <v>1.3148075337668801</v>
      </c>
      <c r="C527">
        <f t="shared" si="25"/>
        <v>228012420297824.53</v>
      </c>
      <c r="D527">
        <f t="shared" si="26"/>
        <v>228.01242029782452</v>
      </c>
      <c r="H527" s="9">
        <v>10866</v>
      </c>
    </row>
    <row r="528" spans="1:8">
      <c r="A528">
        <f t="shared" si="24"/>
        <v>1.3151354177088499E-6</v>
      </c>
      <c r="B528" s="9">
        <v>1.3151354177088499</v>
      </c>
      <c r="C528">
        <f t="shared" si="25"/>
        <v>227955573215631.62</v>
      </c>
      <c r="D528">
        <f t="shared" si="26"/>
        <v>227.95557321563163</v>
      </c>
      <c r="H528" s="9">
        <v>10866</v>
      </c>
    </row>
    <row r="529" spans="1:8">
      <c r="A529">
        <f t="shared" si="24"/>
        <v>1.31546330165083E-6</v>
      </c>
      <c r="B529" s="9">
        <v>1.3154633016508299</v>
      </c>
      <c r="C529">
        <f t="shared" si="25"/>
        <v>227898754472114.81</v>
      </c>
      <c r="D529">
        <f t="shared" si="26"/>
        <v>227.8987544721148</v>
      </c>
      <c r="H529" s="9">
        <v>10866</v>
      </c>
    </row>
    <row r="530" spans="1:8">
      <c r="A530">
        <f t="shared" si="24"/>
        <v>1.3157911855927999E-6</v>
      </c>
      <c r="B530" s="9">
        <v>1.3157911855928</v>
      </c>
      <c r="C530">
        <f t="shared" si="25"/>
        <v>227841964046092.37</v>
      </c>
      <c r="D530">
        <f t="shared" si="26"/>
        <v>227.84196404609239</v>
      </c>
      <c r="H530" s="9">
        <v>10866</v>
      </c>
    </row>
    <row r="531" spans="1:8">
      <c r="A531">
        <f t="shared" si="24"/>
        <v>1.31611906953477E-6</v>
      </c>
      <c r="B531" s="9">
        <v>1.31611906953477</v>
      </c>
      <c r="C531">
        <f t="shared" si="25"/>
        <v>227785201916398.44</v>
      </c>
      <c r="D531">
        <f t="shared" si="26"/>
        <v>227.78520191639845</v>
      </c>
      <c r="H531" s="9">
        <v>10866</v>
      </c>
    </row>
    <row r="532" spans="1:8">
      <c r="A532">
        <f t="shared" si="24"/>
        <v>1.31644695347674E-6</v>
      </c>
      <c r="B532" s="9">
        <v>1.31644695347674</v>
      </c>
      <c r="C532">
        <f t="shared" si="25"/>
        <v>227728468061889.87</v>
      </c>
      <c r="D532">
        <f t="shared" si="26"/>
        <v>227.72846806188988</v>
      </c>
      <c r="H532" s="9">
        <v>10866</v>
      </c>
    </row>
    <row r="533" spans="1:8">
      <c r="A533">
        <f t="shared" si="24"/>
        <v>1.3167748374187101E-6</v>
      </c>
      <c r="B533" s="9">
        <v>1.31677483741871</v>
      </c>
      <c r="C533">
        <f t="shared" si="25"/>
        <v>227671762461444.69</v>
      </c>
      <c r="D533">
        <f t="shared" si="26"/>
        <v>227.6717624614447</v>
      </c>
      <c r="H533" s="9">
        <v>10866</v>
      </c>
    </row>
    <row r="534" spans="1:8">
      <c r="A534">
        <f t="shared" si="24"/>
        <v>1.3171027213606801E-6</v>
      </c>
      <c r="B534" s="9">
        <v>1.3171027213606801</v>
      </c>
      <c r="C534">
        <f t="shared" si="25"/>
        <v>227615085093961.91</v>
      </c>
      <c r="D534">
        <f t="shared" si="26"/>
        <v>227.61508509396191</v>
      </c>
      <c r="H534" s="9">
        <v>10866</v>
      </c>
    </row>
    <row r="535" spans="1:8">
      <c r="A535">
        <f t="shared" si="24"/>
        <v>1.3174306053026502E-6</v>
      </c>
      <c r="B535" s="9">
        <v>1.3174306053026501</v>
      </c>
      <c r="C535">
        <f t="shared" si="25"/>
        <v>227558435938361.56</v>
      </c>
      <c r="D535">
        <f t="shared" si="26"/>
        <v>227.55843593836155</v>
      </c>
      <c r="H535" s="9">
        <v>10866</v>
      </c>
    </row>
    <row r="536" spans="1:8">
      <c r="A536">
        <f t="shared" si="24"/>
        <v>1.3177584892446199E-6</v>
      </c>
      <c r="B536" s="9">
        <v>1.3177584892446199</v>
      </c>
      <c r="C536">
        <f t="shared" si="25"/>
        <v>227501814973584.69</v>
      </c>
      <c r="D536">
        <f t="shared" si="26"/>
        <v>227.50181497358469</v>
      </c>
      <c r="H536" s="9">
        <v>10866</v>
      </c>
    </row>
    <row r="537" spans="1:8">
      <c r="A537">
        <f t="shared" si="24"/>
        <v>1.3180863731865899E-6</v>
      </c>
      <c r="B537" s="9">
        <v>1.3180863731865899</v>
      </c>
      <c r="C537">
        <f t="shared" si="25"/>
        <v>227445222178593.16</v>
      </c>
      <c r="D537">
        <f t="shared" si="26"/>
        <v>227.44522217859316</v>
      </c>
      <c r="H537" s="9">
        <v>10866</v>
      </c>
    </row>
    <row r="538" spans="1:8">
      <c r="A538">
        <f t="shared" si="24"/>
        <v>1.31841425712856E-6</v>
      </c>
      <c r="B538" s="9">
        <v>1.31841425712856</v>
      </c>
      <c r="C538">
        <f t="shared" si="25"/>
        <v>227388657532369.91</v>
      </c>
      <c r="D538">
        <f t="shared" si="26"/>
        <v>227.3886575323699</v>
      </c>
      <c r="H538" s="9">
        <v>10866</v>
      </c>
    </row>
    <row r="539" spans="1:8">
      <c r="A539">
        <f t="shared" si="24"/>
        <v>1.3187421410705399E-6</v>
      </c>
      <c r="B539" s="9">
        <v>1.31874214107054</v>
      </c>
      <c r="C539">
        <f t="shared" si="25"/>
        <v>227332121013917</v>
      </c>
      <c r="D539">
        <f t="shared" si="26"/>
        <v>227.332121013917</v>
      </c>
      <c r="H539" s="9">
        <v>10866</v>
      </c>
    </row>
    <row r="540" spans="1:8">
      <c r="A540">
        <f t="shared" si="24"/>
        <v>1.31907002501251E-6</v>
      </c>
      <c r="B540" s="9">
        <v>1.31907002501251</v>
      </c>
      <c r="C540">
        <f t="shared" si="25"/>
        <v>227275612602262.56</v>
      </c>
      <c r="D540">
        <f t="shared" si="26"/>
        <v>227.27561260226256</v>
      </c>
      <c r="H540" s="9">
        <v>10866</v>
      </c>
    </row>
    <row r="541" spans="1:8">
      <c r="A541">
        <f t="shared" si="24"/>
        <v>1.31939790895448E-6</v>
      </c>
      <c r="B541" s="9">
        <v>1.3193979089544801</v>
      </c>
      <c r="C541">
        <f t="shared" si="25"/>
        <v>227219132276450.34</v>
      </c>
      <c r="D541">
        <f t="shared" si="26"/>
        <v>227.21913227645035</v>
      </c>
      <c r="H541" s="9">
        <v>10866</v>
      </c>
    </row>
    <row r="542" spans="1:8">
      <c r="A542">
        <f t="shared" si="24"/>
        <v>1.3197257928964501E-6</v>
      </c>
      <c r="B542" s="9">
        <v>1.3197257928964501</v>
      </c>
      <c r="C542">
        <f t="shared" si="25"/>
        <v>227162680015546.75</v>
      </c>
      <c r="D542">
        <f t="shared" si="26"/>
        <v>227.16268001554675</v>
      </c>
      <c r="H542" s="9">
        <v>10866</v>
      </c>
    </row>
    <row r="543" spans="1:8">
      <c r="A543">
        <f t="shared" si="24"/>
        <v>1.3200536768384199E-6</v>
      </c>
      <c r="B543" s="9">
        <v>1.3200536768384199</v>
      </c>
      <c r="C543">
        <f t="shared" si="25"/>
        <v>227106255798638.91</v>
      </c>
      <c r="D543">
        <f t="shared" si="26"/>
        <v>227.1062557986389</v>
      </c>
      <c r="H543" s="9">
        <v>10866</v>
      </c>
    </row>
    <row r="544" spans="1:8">
      <c r="A544">
        <f t="shared" si="24"/>
        <v>1.32038156078039E-6</v>
      </c>
      <c r="B544" s="9">
        <v>1.3203815607803899</v>
      </c>
      <c r="C544">
        <f t="shared" si="25"/>
        <v>227049859604834.66</v>
      </c>
      <c r="D544">
        <f t="shared" si="26"/>
        <v>227.04985960483467</v>
      </c>
      <c r="H544" s="9">
        <v>10866</v>
      </c>
    </row>
    <row r="545" spans="1:8">
      <c r="A545">
        <f t="shared" si="24"/>
        <v>1.3207094447223599E-6</v>
      </c>
      <c r="B545" s="9">
        <v>1.32070944472236</v>
      </c>
      <c r="C545">
        <f t="shared" si="25"/>
        <v>226993491413262.72</v>
      </c>
      <c r="D545">
        <f t="shared" si="26"/>
        <v>226.99349141326272</v>
      </c>
      <c r="H545" s="9">
        <v>10866</v>
      </c>
    </row>
    <row r="546" spans="1:8">
      <c r="A546">
        <f t="shared" si="24"/>
        <v>1.3210373286643301E-6</v>
      </c>
      <c r="B546" s="9">
        <v>1.32103732866433</v>
      </c>
      <c r="C546">
        <f t="shared" si="25"/>
        <v>226937151203072.47</v>
      </c>
      <c r="D546">
        <f t="shared" si="26"/>
        <v>226.93715120307246</v>
      </c>
      <c r="H546" s="9">
        <v>10866</v>
      </c>
    </row>
    <row r="547" spans="1:8">
      <c r="A547">
        <f t="shared" si="24"/>
        <v>1.3213652126063E-6</v>
      </c>
      <c r="B547" s="9">
        <v>1.3213652126063</v>
      </c>
      <c r="C547">
        <f t="shared" si="25"/>
        <v>226880838953433.97</v>
      </c>
      <c r="D547">
        <f t="shared" si="26"/>
        <v>226.88083895343397</v>
      </c>
      <c r="H547" s="9">
        <v>10866</v>
      </c>
    </row>
    <row r="548" spans="1:8">
      <c r="A548">
        <f t="shared" si="24"/>
        <v>1.32169309654827E-6</v>
      </c>
      <c r="B548" s="9">
        <v>1.3216930965482701</v>
      </c>
      <c r="C548">
        <f t="shared" si="25"/>
        <v>226824554643537.97</v>
      </c>
      <c r="D548">
        <f t="shared" si="26"/>
        <v>226.82455464353797</v>
      </c>
      <c r="H548" s="9">
        <v>10866</v>
      </c>
    </row>
    <row r="549" spans="1:8">
      <c r="A549">
        <f t="shared" si="24"/>
        <v>1.3220209804902501E-6</v>
      </c>
      <c r="B549" s="9">
        <v>1.3220209804902501</v>
      </c>
      <c r="C549">
        <f t="shared" si="25"/>
        <v>226768298252594.16</v>
      </c>
      <c r="D549">
        <f t="shared" si="26"/>
        <v>226.76829825259415</v>
      </c>
      <c r="H549" s="9">
        <v>10866</v>
      </c>
    </row>
    <row r="550" spans="1:8">
      <c r="A550">
        <f t="shared" si="24"/>
        <v>1.3223488644322202E-6</v>
      </c>
      <c r="B550" s="9">
        <v>1.3223488644322201</v>
      </c>
      <c r="C550">
        <f t="shared" si="25"/>
        <v>226712069759837.97</v>
      </c>
      <c r="D550">
        <f t="shared" si="26"/>
        <v>226.71206975983796</v>
      </c>
      <c r="H550" s="9">
        <v>10866</v>
      </c>
    </row>
    <row r="551" spans="1:8">
      <c r="A551">
        <f t="shared" si="24"/>
        <v>1.3226767483741899E-6</v>
      </c>
      <c r="B551" s="9">
        <v>1.3226767483741899</v>
      </c>
      <c r="C551">
        <f t="shared" si="25"/>
        <v>226655869144520.31</v>
      </c>
      <c r="D551">
        <f t="shared" si="26"/>
        <v>226.65586914452032</v>
      </c>
      <c r="H551" s="9">
        <v>10866</v>
      </c>
    </row>
    <row r="552" spans="1:8">
      <c r="A552">
        <f t="shared" si="24"/>
        <v>1.3230046323161599E-6</v>
      </c>
      <c r="B552" s="9">
        <v>1.3230046323161599</v>
      </c>
      <c r="C552">
        <f t="shared" si="25"/>
        <v>226599696385914.28</v>
      </c>
      <c r="D552">
        <f t="shared" si="26"/>
        <v>226.59969638591429</v>
      </c>
      <c r="H552" s="9">
        <v>10866</v>
      </c>
    </row>
    <row r="553" spans="1:8">
      <c r="A553">
        <f t="shared" si="24"/>
        <v>1.32333251625813E-6</v>
      </c>
      <c r="B553" s="9">
        <v>1.32333251625813</v>
      </c>
      <c r="C553">
        <f t="shared" si="25"/>
        <v>226543551463313.62</v>
      </c>
      <c r="D553">
        <f t="shared" si="26"/>
        <v>226.54355146331363</v>
      </c>
      <c r="H553" s="9">
        <v>10866</v>
      </c>
    </row>
    <row r="554" spans="1:8">
      <c r="A554">
        <f t="shared" si="24"/>
        <v>1.3236604002000999E-6</v>
      </c>
      <c r="B554" s="9">
        <v>1.3236604002001</v>
      </c>
      <c r="C554">
        <f t="shared" si="25"/>
        <v>226487434356032.59</v>
      </c>
      <c r="D554">
        <f t="shared" si="26"/>
        <v>226.48743435603259</v>
      </c>
      <c r="H554" s="9">
        <v>10866</v>
      </c>
    </row>
    <row r="555" spans="1:8">
      <c r="A555">
        <f t="shared" si="24"/>
        <v>1.3239882841420701E-6</v>
      </c>
      <c r="B555" s="9">
        <v>1.32398828414207</v>
      </c>
      <c r="C555">
        <f t="shared" si="25"/>
        <v>226431345043405.91</v>
      </c>
      <c r="D555">
        <f t="shared" si="26"/>
        <v>226.43134504340591</v>
      </c>
      <c r="H555" s="9">
        <v>10866</v>
      </c>
    </row>
    <row r="556" spans="1:8">
      <c r="A556">
        <f t="shared" si="24"/>
        <v>1.32431616808404E-6</v>
      </c>
      <c r="B556" s="9">
        <v>1.3243161680840401</v>
      </c>
      <c r="C556">
        <f t="shared" si="25"/>
        <v>226375283504788.72</v>
      </c>
      <c r="D556">
        <f t="shared" si="26"/>
        <v>226.37528350478871</v>
      </c>
      <c r="H556" s="9">
        <v>10866</v>
      </c>
    </row>
    <row r="557" spans="1:8">
      <c r="A557">
        <f t="shared" si="24"/>
        <v>1.3246440520260102E-6</v>
      </c>
      <c r="B557" s="9">
        <v>1.3246440520260101</v>
      </c>
      <c r="C557">
        <f t="shared" si="25"/>
        <v>226319249719556.69</v>
      </c>
      <c r="D557">
        <f t="shared" si="26"/>
        <v>226.31924971955669</v>
      </c>
      <c r="H557" s="9">
        <v>10866</v>
      </c>
    </row>
    <row r="558" spans="1:8">
      <c r="A558">
        <f t="shared" si="24"/>
        <v>1.3249719359679799E-6</v>
      </c>
      <c r="B558" s="9">
        <v>1.3249719359679799</v>
      </c>
      <c r="C558">
        <f t="shared" si="25"/>
        <v>226263243667105.84</v>
      </c>
      <c r="D558">
        <f t="shared" si="26"/>
        <v>226.26324366710585</v>
      </c>
      <c r="H558" s="9">
        <v>10866</v>
      </c>
    </row>
    <row r="559" spans="1:8">
      <c r="A559">
        <f t="shared" si="24"/>
        <v>1.32529981990996E-6</v>
      </c>
      <c r="B559" s="9">
        <v>1.3252998199099599</v>
      </c>
      <c r="C559">
        <f t="shared" si="25"/>
        <v>226207265326850.87</v>
      </c>
      <c r="D559">
        <f t="shared" si="26"/>
        <v>226.20726532685089</v>
      </c>
      <c r="H559" s="9">
        <v>10866</v>
      </c>
    </row>
    <row r="560" spans="1:8">
      <c r="A560">
        <f t="shared" si="24"/>
        <v>1.3256277038519299E-6</v>
      </c>
      <c r="B560" s="9">
        <v>1.32562770385193</v>
      </c>
      <c r="C560">
        <f t="shared" si="25"/>
        <v>226151314678232.03</v>
      </c>
      <c r="D560">
        <f t="shared" si="26"/>
        <v>226.15131467823204</v>
      </c>
      <c r="H560" s="9">
        <v>10866</v>
      </c>
    </row>
    <row r="561" spans="1:8">
      <c r="A561">
        <f t="shared" si="24"/>
        <v>1.3259555877939001E-6</v>
      </c>
      <c r="B561" s="9">
        <v>1.3259555877939</v>
      </c>
      <c r="C561">
        <f t="shared" si="25"/>
        <v>226095391700704.72</v>
      </c>
      <c r="D561">
        <f t="shared" si="26"/>
        <v>226.09539170070471</v>
      </c>
      <c r="H561" s="9">
        <v>10866</v>
      </c>
    </row>
    <row r="562" spans="1:8">
      <c r="A562">
        <f t="shared" si="24"/>
        <v>1.32628347173587E-6</v>
      </c>
      <c r="B562" s="9">
        <v>1.32628347173587</v>
      </c>
      <c r="C562">
        <f t="shared" si="25"/>
        <v>226039496373746.41</v>
      </c>
      <c r="D562">
        <f t="shared" si="26"/>
        <v>226.0394963737464</v>
      </c>
      <c r="H562" s="9">
        <v>10866</v>
      </c>
    </row>
    <row r="563" spans="1:8">
      <c r="A563">
        <f t="shared" si="24"/>
        <v>1.32661135567784E-6</v>
      </c>
      <c r="B563" s="9">
        <v>1.3266113556778401</v>
      </c>
      <c r="C563">
        <f t="shared" si="25"/>
        <v>225983628676854.84</v>
      </c>
      <c r="D563">
        <f t="shared" si="26"/>
        <v>225.98362867685483</v>
      </c>
      <c r="H563" s="9">
        <v>10866</v>
      </c>
    </row>
    <row r="564" spans="1:8">
      <c r="A564">
        <f t="shared" si="24"/>
        <v>1.3269392396198101E-6</v>
      </c>
      <c r="B564" s="9">
        <v>1.3269392396198101</v>
      </c>
      <c r="C564">
        <f t="shared" si="25"/>
        <v>225927788589547.97</v>
      </c>
      <c r="D564">
        <f t="shared" si="26"/>
        <v>225.92778858954796</v>
      </c>
      <c r="H564" s="9">
        <v>10866</v>
      </c>
    </row>
    <row r="565" spans="1:8">
      <c r="A565">
        <f t="shared" si="24"/>
        <v>1.3272671235617798E-6</v>
      </c>
      <c r="B565" s="9">
        <v>1.3272671235617799</v>
      </c>
      <c r="C565">
        <f t="shared" si="25"/>
        <v>225871976091364.12</v>
      </c>
      <c r="D565">
        <f t="shared" si="26"/>
        <v>225.87197609136413</v>
      </c>
      <c r="H565" s="9">
        <v>10866</v>
      </c>
    </row>
    <row r="566" spans="1:8">
      <c r="A566">
        <f t="shared" si="24"/>
        <v>1.32759500750375E-6</v>
      </c>
      <c r="B566" s="9">
        <v>1.3275950075037499</v>
      </c>
      <c r="C566">
        <f t="shared" si="25"/>
        <v>225816191161861.69</v>
      </c>
      <c r="D566">
        <f t="shared" si="26"/>
        <v>225.8161911618617</v>
      </c>
      <c r="H566" s="9">
        <v>10866</v>
      </c>
    </row>
    <row r="567" spans="1:8">
      <c r="A567">
        <f t="shared" si="24"/>
        <v>1.3279228914457199E-6</v>
      </c>
      <c r="B567" s="9">
        <v>1.32792289144572</v>
      </c>
      <c r="C567">
        <f t="shared" si="25"/>
        <v>225760433780619.31</v>
      </c>
      <c r="D567">
        <f t="shared" si="26"/>
        <v>225.76043378061931</v>
      </c>
      <c r="H567" s="9">
        <v>10866</v>
      </c>
    </row>
    <row r="568" spans="1:8">
      <c r="A568">
        <f t="shared" si="24"/>
        <v>1.3282507753876901E-6</v>
      </c>
      <c r="B568" s="9">
        <v>1.32825077538769</v>
      </c>
      <c r="C568">
        <f t="shared" si="25"/>
        <v>225704703927235.84</v>
      </c>
      <c r="D568">
        <f t="shared" si="26"/>
        <v>225.70470392723584</v>
      </c>
      <c r="H568" s="9">
        <v>10866</v>
      </c>
    </row>
    <row r="569" spans="1:8">
      <c r="A569">
        <f t="shared" si="24"/>
        <v>1.32857865932966E-6</v>
      </c>
      <c r="B569" s="9">
        <v>1.32857865932966</v>
      </c>
      <c r="C569">
        <f t="shared" si="25"/>
        <v>225649001581330.19</v>
      </c>
      <c r="D569">
        <f t="shared" si="26"/>
        <v>225.6490015813302</v>
      </c>
      <c r="H569" s="9">
        <v>10866</v>
      </c>
    </row>
    <row r="570" spans="1:8">
      <c r="A570">
        <f t="shared" si="24"/>
        <v>1.3289065432716401E-6</v>
      </c>
      <c r="B570" s="9">
        <v>1.32890654327164</v>
      </c>
      <c r="C570">
        <f t="shared" si="25"/>
        <v>225593326722539.75</v>
      </c>
      <c r="D570">
        <f t="shared" si="26"/>
        <v>225.59332672253976</v>
      </c>
      <c r="H570" s="9">
        <v>10866</v>
      </c>
    </row>
    <row r="571" spans="1:8">
      <c r="A571">
        <f t="shared" si="24"/>
        <v>1.32923442721361E-6</v>
      </c>
      <c r="B571" s="9">
        <v>1.3292344272136101</v>
      </c>
      <c r="C571">
        <f t="shared" si="25"/>
        <v>225537679330527.06</v>
      </c>
      <c r="D571">
        <f t="shared" si="26"/>
        <v>225.53767933052706</v>
      </c>
      <c r="H571" s="9">
        <v>10866</v>
      </c>
    </row>
    <row r="572" spans="1:8">
      <c r="A572">
        <f t="shared" si="24"/>
        <v>1.3295623111555802E-6</v>
      </c>
      <c r="B572" s="9">
        <v>1.3295623111555801</v>
      </c>
      <c r="C572">
        <f t="shared" si="25"/>
        <v>225482059384969.66</v>
      </c>
      <c r="D572">
        <f t="shared" si="26"/>
        <v>225.48205938496966</v>
      </c>
      <c r="H572" s="9">
        <v>10866</v>
      </c>
    </row>
    <row r="573" spans="1:8">
      <c r="A573">
        <f t="shared" si="24"/>
        <v>1.3298901950975499E-6</v>
      </c>
      <c r="B573" s="9">
        <v>1.3298901950975499</v>
      </c>
      <c r="C573">
        <f t="shared" si="25"/>
        <v>225426466865566.81</v>
      </c>
      <c r="D573">
        <f t="shared" si="26"/>
        <v>225.42646686556682</v>
      </c>
      <c r="H573" s="9">
        <v>10866</v>
      </c>
    </row>
    <row r="574" spans="1:8">
      <c r="A574">
        <f t="shared" si="24"/>
        <v>1.33021807903952E-6</v>
      </c>
      <c r="B574" s="9">
        <v>1.3302180790395199</v>
      </c>
      <c r="C574">
        <f t="shared" si="25"/>
        <v>225370901752037.72</v>
      </c>
      <c r="D574">
        <f t="shared" si="26"/>
        <v>225.37090175203772</v>
      </c>
      <c r="H574" s="9">
        <v>10866</v>
      </c>
    </row>
    <row r="575" spans="1:8">
      <c r="A575">
        <f t="shared" si="24"/>
        <v>1.33054596298149E-6</v>
      </c>
      <c r="B575" s="9">
        <v>1.33054596298149</v>
      </c>
      <c r="C575">
        <f t="shared" si="25"/>
        <v>225315364024121.72</v>
      </c>
      <c r="D575">
        <f t="shared" si="26"/>
        <v>225.31536402412172</v>
      </c>
      <c r="H575" s="9">
        <v>10866</v>
      </c>
    </row>
    <row r="576" spans="1:8">
      <c r="A576">
        <f t="shared" si="24"/>
        <v>1.3308738469234599E-6</v>
      </c>
      <c r="B576" s="9">
        <v>1.33087384692346</v>
      </c>
      <c r="C576">
        <f t="shared" si="25"/>
        <v>225259853661578.03</v>
      </c>
      <c r="D576">
        <f t="shared" si="26"/>
        <v>225.25985366157803</v>
      </c>
      <c r="H576" s="9">
        <v>10866</v>
      </c>
    </row>
    <row r="577" spans="1:8">
      <c r="A577">
        <f t="shared" si="24"/>
        <v>1.3312017308654301E-6</v>
      </c>
      <c r="B577" s="9">
        <v>1.33120173086543</v>
      </c>
      <c r="C577">
        <f t="shared" si="25"/>
        <v>225204370644185.81</v>
      </c>
      <c r="D577">
        <f t="shared" si="26"/>
        <v>225.20437064418581</v>
      </c>
      <c r="H577" s="9">
        <v>10866</v>
      </c>
    </row>
    <row r="578" spans="1:8">
      <c r="A578">
        <f t="shared" si="24"/>
        <v>1.3315296148074E-6</v>
      </c>
      <c r="B578" s="9">
        <v>1.3315296148074001</v>
      </c>
      <c r="C578">
        <f t="shared" si="25"/>
        <v>225148914951744.19</v>
      </c>
      <c r="D578">
        <f t="shared" si="26"/>
        <v>225.14891495174419</v>
      </c>
      <c r="H578" s="9">
        <v>10866</v>
      </c>
    </row>
    <row r="579" spans="1:8">
      <c r="A579">
        <f t="shared" si="24"/>
        <v>1.3318574987493701E-6</v>
      </c>
      <c r="B579" s="9">
        <v>1.3318574987493701</v>
      </c>
      <c r="C579">
        <f t="shared" si="25"/>
        <v>225093486564072.09</v>
      </c>
      <c r="D579">
        <f t="shared" si="26"/>
        <v>225.09348656407209</v>
      </c>
      <c r="H579" s="9">
        <v>10866</v>
      </c>
    </row>
    <row r="580" spans="1:8">
      <c r="A580">
        <f t="shared" si="24"/>
        <v>1.3321853826913498E-6</v>
      </c>
      <c r="B580" s="9">
        <v>1.3321853826913499</v>
      </c>
      <c r="C580">
        <f t="shared" si="25"/>
        <v>225038085461006.75</v>
      </c>
      <c r="D580">
        <f t="shared" si="26"/>
        <v>225.03808546100674</v>
      </c>
      <c r="H580" s="9">
        <v>10866</v>
      </c>
    </row>
    <row r="581" spans="1:8">
      <c r="A581">
        <f t="shared" si="24"/>
        <v>1.33251326663332E-6</v>
      </c>
      <c r="B581" s="9">
        <v>1.3325132666333199</v>
      </c>
      <c r="C581">
        <f t="shared" si="25"/>
        <v>224982711622410.19</v>
      </c>
      <c r="D581">
        <f t="shared" si="26"/>
        <v>224.98271162241019</v>
      </c>
      <c r="H581" s="9">
        <v>10866</v>
      </c>
    </row>
    <row r="582" spans="1:8">
      <c r="A582">
        <f t="shared" si="24"/>
        <v>1.3328411505752899E-6</v>
      </c>
      <c r="B582" s="9">
        <v>1.33284115057529</v>
      </c>
      <c r="C582">
        <f t="shared" si="25"/>
        <v>224927365028159.25</v>
      </c>
      <c r="D582">
        <f t="shared" si="26"/>
        <v>224.92736502815924</v>
      </c>
      <c r="H582" s="9">
        <v>10866</v>
      </c>
    </row>
    <row r="583" spans="1:8">
      <c r="A583">
        <f t="shared" ref="A583:A646" si="27">B583/1000000</f>
        <v>1.3331690345172601E-6</v>
      </c>
      <c r="B583" s="9">
        <v>1.33316903451726</v>
      </c>
      <c r="C583">
        <f t="shared" ref="C583:C646" si="28">wavelength_to_freq(B583)</f>
        <v>224872045658152.22</v>
      </c>
      <c r="D583">
        <f t="shared" ref="D583:D646" si="29">C583/1000000000000</f>
        <v>224.87204565815222</v>
      </c>
      <c r="H583" s="9">
        <v>10866</v>
      </c>
    </row>
    <row r="584" spans="1:8">
      <c r="A584">
        <f t="shared" si="27"/>
        <v>1.33349691845923E-6</v>
      </c>
      <c r="B584" s="9">
        <v>1.33349691845923</v>
      </c>
      <c r="C584">
        <f t="shared" si="28"/>
        <v>224816753492307.22</v>
      </c>
      <c r="D584">
        <f t="shared" si="29"/>
        <v>224.81675349230721</v>
      </c>
      <c r="H584" s="9">
        <v>10866</v>
      </c>
    </row>
    <row r="585" spans="1:8">
      <c r="A585">
        <f t="shared" si="27"/>
        <v>1.3338248024012001E-6</v>
      </c>
      <c r="B585" s="9">
        <v>1.3338248024012</v>
      </c>
      <c r="C585">
        <f t="shared" si="28"/>
        <v>224761488510562.03</v>
      </c>
      <c r="D585">
        <f t="shared" si="29"/>
        <v>224.76148851056203</v>
      </c>
      <c r="H585" s="9">
        <v>10866</v>
      </c>
    </row>
    <row r="586" spans="1:8">
      <c r="A586">
        <f t="shared" si="27"/>
        <v>1.3341526863431701E-6</v>
      </c>
      <c r="B586" s="9">
        <v>1.3341526863431701</v>
      </c>
      <c r="C586">
        <f t="shared" si="28"/>
        <v>224706250692874.25</v>
      </c>
      <c r="D586">
        <f t="shared" si="29"/>
        <v>224.70625069287425</v>
      </c>
      <c r="H586" s="9">
        <v>10866</v>
      </c>
    </row>
    <row r="587" spans="1:8">
      <c r="A587">
        <f t="shared" si="27"/>
        <v>1.33448057028514E-6</v>
      </c>
      <c r="B587" s="9">
        <v>1.3344805702851401</v>
      </c>
      <c r="C587">
        <f t="shared" si="28"/>
        <v>224651040019221.09</v>
      </c>
      <c r="D587">
        <f t="shared" si="29"/>
        <v>224.65104001922109</v>
      </c>
      <c r="H587" s="9">
        <v>10866</v>
      </c>
    </row>
    <row r="588" spans="1:8">
      <c r="A588">
        <f t="shared" si="27"/>
        <v>1.3348084542271099E-6</v>
      </c>
      <c r="B588" s="9">
        <v>1.3348084542271099</v>
      </c>
      <c r="C588">
        <f t="shared" si="28"/>
        <v>224595856469599.53</v>
      </c>
      <c r="D588">
        <f t="shared" si="29"/>
        <v>224.59585646959954</v>
      </c>
      <c r="H588" s="9">
        <v>10866</v>
      </c>
    </row>
    <row r="589" spans="1:8">
      <c r="A589">
        <f t="shared" si="27"/>
        <v>1.3351363381690799E-6</v>
      </c>
      <c r="B589" s="9">
        <v>1.33513633816908</v>
      </c>
      <c r="C589">
        <f t="shared" si="28"/>
        <v>224540700024026.06</v>
      </c>
      <c r="D589">
        <f t="shared" si="29"/>
        <v>224.54070002402605</v>
      </c>
      <c r="H589" s="9">
        <v>10866</v>
      </c>
    </row>
    <row r="590" spans="1:8">
      <c r="A590">
        <f t="shared" si="27"/>
        <v>1.33546422211106E-6</v>
      </c>
      <c r="B590" s="9">
        <v>1.33546422211106</v>
      </c>
      <c r="C590">
        <f t="shared" si="28"/>
        <v>224485570662535.22</v>
      </c>
      <c r="D590">
        <f t="shared" si="29"/>
        <v>224.48557066253522</v>
      </c>
      <c r="H590" s="9">
        <v>10866</v>
      </c>
    </row>
    <row r="591" spans="1:8">
      <c r="A591">
        <f t="shared" si="27"/>
        <v>1.3357921060530299E-6</v>
      </c>
      <c r="B591" s="9">
        <v>1.33579210605303</v>
      </c>
      <c r="C591">
        <f t="shared" si="28"/>
        <v>224430468365186.19</v>
      </c>
      <c r="D591">
        <f t="shared" si="29"/>
        <v>224.43046836518619</v>
      </c>
      <c r="H591" s="9">
        <v>10866</v>
      </c>
    </row>
    <row r="592" spans="1:8">
      <c r="A592">
        <f t="shared" si="27"/>
        <v>1.3361199899950001E-6</v>
      </c>
      <c r="B592" s="9">
        <v>1.336119989995</v>
      </c>
      <c r="C592">
        <f t="shared" si="28"/>
        <v>224375393112052.66</v>
      </c>
      <c r="D592">
        <f t="shared" si="29"/>
        <v>224.37539311205265</v>
      </c>
      <c r="H592" s="9">
        <v>10866</v>
      </c>
    </row>
    <row r="593" spans="1:8">
      <c r="A593">
        <f t="shared" si="27"/>
        <v>1.33644787393697E-6</v>
      </c>
      <c r="B593" s="9">
        <v>1.3364478739369701</v>
      </c>
      <c r="C593">
        <f t="shared" si="28"/>
        <v>224320344883229.53</v>
      </c>
      <c r="D593">
        <f t="shared" si="29"/>
        <v>224.32034488322952</v>
      </c>
      <c r="H593" s="9">
        <v>10866</v>
      </c>
    </row>
    <row r="594" spans="1:8">
      <c r="A594">
        <f t="shared" si="27"/>
        <v>1.3367757578789401E-6</v>
      </c>
      <c r="B594" s="9">
        <v>1.3367757578789401</v>
      </c>
      <c r="C594">
        <f t="shared" si="28"/>
        <v>224265323658831.28</v>
      </c>
      <c r="D594">
        <f t="shared" si="29"/>
        <v>224.26532365883128</v>
      </c>
      <c r="H594" s="9">
        <v>10866</v>
      </c>
    </row>
    <row r="595" spans="1:8">
      <c r="A595">
        <f t="shared" si="27"/>
        <v>1.3371036418209099E-6</v>
      </c>
      <c r="B595" s="9">
        <v>1.3371036418209099</v>
      </c>
      <c r="C595">
        <f t="shared" si="28"/>
        <v>224210329418991.94</v>
      </c>
      <c r="D595">
        <f t="shared" si="29"/>
        <v>224.21032941899193</v>
      </c>
      <c r="H595" s="9">
        <v>10866</v>
      </c>
    </row>
    <row r="596" spans="1:8">
      <c r="A596">
        <f t="shared" si="27"/>
        <v>1.33743152576288E-6</v>
      </c>
      <c r="B596" s="9">
        <v>1.3374315257628799</v>
      </c>
      <c r="C596">
        <f t="shared" si="28"/>
        <v>224155362143864.81</v>
      </c>
      <c r="D596">
        <f t="shared" si="29"/>
        <v>224.15536214386481</v>
      </c>
      <c r="H596" s="9">
        <v>10866</v>
      </c>
    </row>
    <row r="597" spans="1:8">
      <c r="A597">
        <f t="shared" si="27"/>
        <v>1.33775940970485E-6</v>
      </c>
      <c r="B597" s="9">
        <v>1.33775940970485</v>
      </c>
      <c r="C597">
        <f t="shared" si="28"/>
        <v>224100421813622.87</v>
      </c>
      <c r="D597">
        <f t="shared" si="29"/>
        <v>224.10042181362289</v>
      </c>
      <c r="H597" s="9">
        <v>10866</v>
      </c>
    </row>
    <row r="598" spans="1:8">
      <c r="A598">
        <f t="shared" si="27"/>
        <v>1.3380872936468201E-6</v>
      </c>
      <c r="B598" s="9">
        <v>1.33808729364682</v>
      </c>
      <c r="C598">
        <f t="shared" si="28"/>
        <v>224045508408458.44</v>
      </c>
      <c r="D598">
        <f t="shared" si="29"/>
        <v>224.04550840845843</v>
      </c>
      <c r="H598" s="9">
        <v>10866</v>
      </c>
    </row>
    <row r="599" spans="1:8">
      <c r="A599">
        <f t="shared" si="27"/>
        <v>1.33841517758879E-6</v>
      </c>
      <c r="B599" s="9">
        <v>1.33841517758879</v>
      </c>
      <c r="C599">
        <f t="shared" si="28"/>
        <v>223990621908583.28</v>
      </c>
      <c r="D599">
        <f t="shared" si="29"/>
        <v>223.99062190858328</v>
      </c>
      <c r="H599" s="9">
        <v>10866</v>
      </c>
    </row>
    <row r="600" spans="1:8">
      <c r="A600">
        <f t="shared" si="27"/>
        <v>1.3387430615307701E-6</v>
      </c>
      <c r="B600" s="9">
        <v>1.3387430615307701</v>
      </c>
      <c r="C600">
        <f t="shared" si="28"/>
        <v>223935762294226.81</v>
      </c>
      <c r="D600">
        <f t="shared" si="29"/>
        <v>223.93576229422681</v>
      </c>
      <c r="H600" s="9">
        <v>10866</v>
      </c>
    </row>
    <row r="601" spans="1:8">
      <c r="A601">
        <f t="shared" si="27"/>
        <v>1.3390709454727401E-6</v>
      </c>
      <c r="B601" s="9">
        <v>1.3390709454727401</v>
      </c>
      <c r="C601">
        <f t="shared" si="28"/>
        <v>223880929545642.94</v>
      </c>
      <c r="D601">
        <f t="shared" si="29"/>
        <v>223.88092954564294</v>
      </c>
      <c r="H601" s="9">
        <v>10866</v>
      </c>
    </row>
    <row r="602" spans="1:8">
      <c r="A602">
        <f t="shared" si="27"/>
        <v>1.3393988294147098E-6</v>
      </c>
      <c r="B602" s="9">
        <v>1.3393988294147099</v>
      </c>
      <c r="C602">
        <f t="shared" si="28"/>
        <v>223826123643099.81</v>
      </c>
      <c r="D602">
        <f t="shared" si="29"/>
        <v>223.82612364309981</v>
      </c>
      <c r="H602" s="9">
        <v>10866</v>
      </c>
    </row>
    <row r="603" spans="1:8">
      <c r="A603">
        <f t="shared" si="27"/>
        <v>1.3397267133566799E-6</v>
      </c>
      <c r="B603" s="9">
        <v>1.3397267133566799</v>
      </c>
      <c r="C603">
        <f t="shared" si="28"/>
        <v>223771344566886.5</v>
      </c>
      <c r="D603">
        <f t="shared" si="29"/>
        <v>223.77134456688651</v>
      </c>
      <c r="H603" s="9">
        <v>10866</v>
      </c>
    </row>
    <row r="604" spans="1:8">
      <c r="A604">
        <f t="shared" si="27"/>
        <v>1.3400545972986499E-6</v>
      </c>
      <c r="B604" s="9">
        <v>1.34005459729865</v>
      </c>
      <c r="C604">
        <f t="shared" si="28"/>
        <v>223716592297311.5</v>
      </c>
      <c r="D604">
        <f t="shared" si="29"/>
        <v>223.71659229731151</v>
      </c>
      <c r="H604" s="9">
        <v>10866</v>
      </c>
    </row>
    <row r="605" spans="1:8">
      <c r="A605">
        <f t="shared" si="27"/>
        <v>1.34038248124062E-6</v>
      </c>
      <c r="B605" s="9">
        <v>1.34038248124062</v>
      </c>
      <c r="C605">
        <f t="shared" si="28"/>
        <v>223661866814702.5</v>
      </c>
      <c r="D605">
        <f t="shared" si="29"/>
        <v>223.66186681470251</v>
      </c>
      <c r="H605" s="9">
        <v>10866</v>
      </c>
    </row>
    <row r="606" spans="1:8">
      <c r="A606">
        <f t="shared" si="27"/>
        <v>1.34071036518259E-6</v>
      </c>
      <c r="B606" s="9">
        <v>1.34071036518259</v>
      </c>
      <c r="C606">
        <f t="shared" si="28"/>
        <v>223607168099406.44</v>
      </c>
      <c r="D606">
        <f t="shared" si="29"/>
        <v>223.60716809940644</v>
      </c>
      <c r="H606" s="9">
        <v>10866</v>
      </c>
    </row>
    <row r="607" spans="1:8">
      <c r="A607">
        <f t="shared" si="27"/>
        <v>1.3410382491245601E-6</v>
      </c>
      <c r="B607" s="9">
        <v>1.34103824912456</v>
      </c>
      <c r="C607">
        <f t="shared" si="28"/>
        <v>223552496131789.53</v>
      </c>
      <c r="D607">
        <f t="shared" si="29"/>
        <v>223.55249613178952</v>
      </c>
      <c r="H607" s="9">
        <v>10866</v>
      </c>
    </row>
    <row r="608" spans="1:8">
      <c r="A608">
        <f t="shared" si="27"/>
        <v>1.34136613306653E-6</v>
      </c>
      <c r="B608" s="9">
        <v>1.3413661330665301</v>
      </c>
      <c r="C608">
        <f t="shared" si="28"/>
        <v>223497850892237.09</v>
      </c>
      <c r="D608">
        <f t="shared" si="29"/>
        <v>223.4978508922371</v>
      </c>
      <c r="H608" s="9">
        <v>10866</v>
      </c>
    </row>
    <row r="609" spans="1:8">
      <c r="A609">
        <f t="shared" si="27"/>
        <v>1.3416940170085002E-6</v>
      </c>
      <c r="B609" s="9">
        <v>1.3416940170085001</v>
      </c>
      <c r="C609">
        <f t="shared" si="28"/>
        <v>223443232361153.72</v>
      </c>
      <c r="D609">
        <f t="shared" si="29"/>
        <v>223.44323236115372</v>
      </c>
      <c r="H609" s="9">
        <v>10866</v>
      </c>
    </row>
    <row r="610" spans="1:8">
      <c r="A610">
        <f t="shared" si="27"/>
        <v>1.3420219009504799E-6</v>
      </c>
      <c r="B610" s="9">
        <v>1.3420219009504799</v>
      </c>
      <c r="C610">
        <f t="shared" si="28"/>
        <v>223388640518961.41</v>
      </c>
      <c r="D610">
        <f t="shared" si="29"/>
        <v>223.38864051896141</v>
      </c>
      <c r="H610" s="9">
        <v>10866</v>
      </c>
    </row>
    <row r="611" spans="1:8">
      <c r="A611">
        <f t="shared" si="27"/>
        <v>1.34234978489245E-6</v>
      </c>
      <c r="B611" s="9">
        <v>1.3423497848924499</v>
      </c>
      <c r="C611">
        <f t="shared" si="28"/>
        <v>223334075346106.31</v>
      </c>
      <c r="D611">
        <f t="shared" si="29"/>
        <v>223.33407534610632</v>
      </c>
      <c r="H611" s="9">
        <v>10866</v>
      </c>
    </row>
    <row r="612" spans="1:8">
      <c r="A612">
        <f t="shared" si="27"/>
        <v>1.34267766883442E-6</v>
      </c>
      <c r="B612" s="9">
        <v>1.34267766883442</v>
      </c>
      <c r="C612">
        <f t="shared" si="28"/>
        <v>223279536823048.66</v>
      </c>
      <c r="D612">
        <f t="shared" si="29"/>
        <v>223.27953682304866</v>
      </c>
      <c r="H612" s="9">
        <v>10866</v>
      </c>
    </row>
    <row r="613" spans="1:8">
      <c r="A613">
        <f t="shared" si="27"/>
        <v>1.3430055527763901E-6</v>
      </c>
      <c r="B613" s="9">
        <v>1.34300555277639</v>
      </c>
      <c r="C613">
        <f t="shared" si="28"/>
        <v>223225024930269.47</v>
      </c>
      <c r="D613">
        <f t="shared" si="29"/>
        <v>223.22502493026946</v>
      </c>
      <c r="H613" s="9">
        <v>10866</v>
      </c>
    </row>
    <row r="614" spans="1:8">
      <c r="A614">
        <f t="shared" si="27"/>
        <v>1.34333343671836E-6</v>
      </c>
      <c r="B614" s="9">
        <v>1.34333343671836</v>
      </c>
      <c r="C614">
        <f t="shared" si="28"/>
        <v>223170539648268.84</v>
      </c>
      <c r="D614">
        <f t="shared" si="29"/>
        <v>223.17053964826886</v>
      </c>
      <c r="H614" s="9">
        <v>10866</v>
      </c>
    </row>
    <row r="615" spans="1:8">
      <c r="A615">
        <f t="shared" si="27"/>
        <v>1.34366132066033E-6</v>
      </c>
      <c r="B615" s="9">
        <v>1.3436613206603301</v>
      </c>
      <c r="C615">
        <f t="shared" si="28"/>
        <v>223116080957565.81</v>
      </c>
      <c r="D615">
        <f t="shared" si="29"/>
        <v>223.1160809575658</v>
      </c>
      <c r="H615" s="9">
        <v>10866</v>
      </c>
    </row>
    <row r="616" spans="1:8">
      <c r="A616">
        <f t="shared" si="27"/>
        <v>1.3439892046023001E-6</v>
      </c>
      <c r="B616" s="9">
        <v>1.3439892046023001</v>
      </c>
      <c r="C616">
        <f t="shared" si="28"/>
        <v>223061648838698.53</v>
      </c>
      <c r="D616">
        <f t="shared" si="29"/>
        <v>223.06164883869855</v>
      </c>
      <c r="H616" s="9">
        <v>10866</v>
      </c>
    </row>
    <row r="617" spans="1:8">
      <c r="A617">
        <f t="shared" si="27"/>
        <v>1.3443170885442698E-6</v>
      </c>
      <c r="B617" s="9">
        <v>1.3443170885442699</v>
      </c>
      <c r="C617">
        <f t="shared" si="28"/>
        <v>223007243272224.09</v>
      </c>
      <c r="D617">
        <f t="shared" si="29"/>
        <v>223.00724327222409</v>
      </c>
      <c r="H617" s="9">
        <v>10866</v>
      </c>
    </row>
    <row r="618" spans="1:8">
      <c r="A618">
        <f t="shared" si="27"/>
        <v>1.34464497248624E-6</v>
      </c>
      <c r="B618" s="9">
        <v>1.3446449724862399</v>
      </c>
      <c r="C618">
        <f t="shared" si="28"/>
        <v>222952864238718.47</v>
      </c>
      <c r="D618">
        <f t="shared" si="29"/>
        <v>222.95286423871846</v>
      </c>
      <c r="H618" s="9">
        <v>10866</v>
      </c>
    </row>
    <row r="619" spans="1:8">
      <c r="A619">
        <f t="shared" si="27"/>
        <v>1.3449728564282099E-6</v>
      </c>
      <c r="B619" s="9">
        <v>1.34497285642821</v>
      </c>
      <c r="C619">
        <f t="shared" si="28"/>
        <v>222898511718776.75</v>
      </c>
      <c r="D619">
        <f t="shared" si="29"/>
        <v>222.89851171877675</v>
      </c>
      <c r="H619" s="9">
        <v>10866</v>
      </c>
    </row>
    <row r="620" spans="1:8">
      <c r="A620">
        <f t="shared" si="27"/>
        <v>1.34530074037019E-6</v>
      </c>
      <c r="B620" s="9">
        <v>1.34530074037019</v>
      </c>
      <c r="C620">
        <f t="shared" si="28"/>
        <v>222844185693011.16</v>
      </c>
      <c r="D620">
        <f t="shared" si="29"/>
        <v>222.84418569301116</v>
      </c>
      <c r="H620" s="9">
        <v>10866</v>
      </c>
    </row>
    <row r="621" spans="1:8">
      <c r="A621">
        <f t="shared" si="27"/>
        <v>1.34562862431216E-6</v>
      </c>
      <c r="B621" s="9">
        <v>1.34562862431216</v>
      </c>
      <c r="C621">
        <f t="shared" si="28"/>
        <v>222789886142057.81</v>
      </c>
      <c r="D621">
        <f t="shared" si="29"/>
        <v>222.78988614205781</v>
      </c>
      <c r="H621" s="9">
        <v>10866</v>
      </c>
    </row>
    <row r="622" spans="1:8">
      <c r="A622">
        <f t="shared" si="27"/>
        <v>1.3459565082541301E-6</v>
      </c>
      <c r="B622" s="9">
        <v>1.34595650825413</v>
      </c>
      <c r="C622">
        <f t="shared" si="28"/>
        <v>222735613046566.72</v>
      </c>
      <c r="D622">
        <f t="shared" si="29"/>
        <v>222.73561304656673</v>
      </c>
      <c r="H622" s="9">
        <v>10866</v>
      </c>
    </row>
    <row r="623" spans="1:8">
      <c r="A623">
        <f t="shared" si="27"/>
        <v>1.3462843921961E-6</v>
      </c>
      <c r="B623" s="9">
        <v>1.3462843921961001</v>
      </c>
      <c r="C623">
        <f t="shared" si="28"/>
        <v>222681366387208.44</v>
      </c>
      <c r="D623">
        <f t="shared" si="29"/>
        <v>222.68136638720844</v>
      </c>
      <c r="H623" s="9">
        <v>10866</v>
      </c>
    </row>
    <row r="624" spans="1:8">
      <c r="A624">
        <f t="shared" si="27"/>
        <v>1.3466122761380702E-6</v>
      </c>
      <c r="B624" s="9">
        <v>1.3466122761380701</v>
      </c>
      <c r="C624">
        <f t="shared" si="28"/>
        <v>222627146144672.34</v>
      </c>
      <c r="D624">
        <f t="shared" si="29"/>
        <v>222.62714614467234</v>
      </c>
      <c r="H624" s="9">
        <v>10866</v>
      </c>
    </row>
    <row r="625" spans="1:8">
      <c r="A625">
        <f t="shared" si="27"/>
        <v>1.3469401600800399E-6</v>
      </c>
      <c r="B625" s="9">
        <v>1.3469401600800399</v>
      </c>
      <c r="C625">
        <f t="shared" si="28"/>
        <v>222572952299666.59</v>
      </c>
      <c r="D625">
        <f t="shared" si="29"/>
        <v>222.57295229966658</v>
      </c>
      <c r="H625" s="9">
        <v>10866</v>
      </c>
    </row>
    <row r="626" spans="1:8">
      <c r="A626">
        <f t="shared" si="27"/>
        <v>1.3472680440220099E-6</v>
      </c>
      <c r="B626" s="9">
        <v>1.3472680440220099</v>
      </c>
      <c r="C626">
        <f t="shared" si="28"/>
        <v>222518784832918.06</v>
      </c>
      <c r="D626">
        <f t="shared" si="29"/>
        <v>222.51878483291807</v>
      </c>
      <c r="H626" s="9">
        <v>10866</v>
      </c>
    </row>
    <row r="627" spans="1:8">
      <c r="A627">
        <f t="shared" si="27"/>
        <v>1.34759592796398E-6</v>
      </c>
      <c r="B627" s="9">
        <v>1.34759592796398</v>
      </c>
      <c r="C627">
        <f t="shared" si="28"/>
        <v>222464643725172.47</v>
      </c>
      <c r="D627">
        <f t="shared" si="29"/>
        <v>222.46464372517246</v>
      </c>
      <c r="H627" s="9">
        <v>10866</v>
      </c>
    </row>
    <row r="628" spans="1:8">
      <c r="A628">
        <f t="shared" si="27"/>
        <v>1.3479238119059499E-6</v>
      </c>
      <c r="B628" s="9">
        <v>1.34792381190595</v>
      </c>
      <c r="C628">
        <f t="shared" si="28"/>
        <v>222410528957194.28</v>
      </c>
      <c r="D628">
        <f t="shared" si="29"/>
        <v>222.41052895719429</v>
      </c>
      <c r="H628" s="9">
        <v>10866</v>
      </c>
    </row>
    <row r="629" spans="1:8">
      <c r="A629">
        <f t="shared" si="27"/>
        <v>1.3482516958479201E-6</v>
      </c>
      <c r="B629" s="9">
        <v>1.34825169584792</v>
      </c>
      <c r="C629">
        <f t="shared" si="28"/>
        <v>222356440509766.62</v>
      </c>
      <c r="D629">
        <f t="shared" si="29"/>
        <v>222.35644050976663</v>
      </c>
      <c r="H629" s="9">
        <v>10866</v>
      </c>
    </row>
    <row r="630" spans="1:8">
      <c r="A630">
        <f t="shared" si="27"/>
        <v>1.34857957978989E-6</v>
      </c>
      <c r="B630" s="9">
        <v>1.3485795797898901</v>
      </c>
      <c r="C630">
        <f t="shared" si="28"/>
        <v>222302378363691.31</v>
      </c>
      <c r="D630">
        <f t="shared" si="29"/>
        <v>222.3023783636913</v>
      </c>
      <c r="H630" s="9">
        <v>10866</v>
      </c>
    </row>
    <row r="631" spans="1:8">
      <c r="A631">
        <f t="shared" si="27"/>
        <v>1.3489074637318701E-6</v>
      </c>
      <c r="B631" s="9">
        <v>1.3489074637318701</v>
      </c>
      <c r="C631">
        <f t="shared" si="28"/>
        <v>222248342499787.25</v>
      </c>
      <c r="D631">
        <f t="shared" si="29"/>
        <v>222.24834249978724</v>
      </c>
      <c r="H631" s="9">
        <v>10866</v>
      </c>
    </row>
    <row r="632" spans="1:8">
      <c r="A632">
        <f t="shared" si="27"/>
        <v>1.3492353476738398E-6</v>
      </c>
      <c r="B632" s="9">
        <v>1.3492353476738399</v>
      </c>
      <c r="C632">
        <f t="shared" si="28"/>
        <v>222194332898896.84</v>
      </c>
      <c r="D632">
        <f t="shared" si="29"/>
        <v>222.19433289889685</v>
      </c>
      <c r="H632" s="9">
        <v>10866</v>
      </c>
    </row>
    <row r="633" spans="1:8">
      <c r="A633">
        <f t="shared" si="27"/>
        <v>1.34956323161581E-6</v>
      </c>
      <c r="B633" s="9">
        <v>1.3495632316158099</v>
      </c>
      <c r="C633">
        <f t="shared" si="28"/>
        <v>222140349541876.16</v>
      </c>
      <c r="D633">
        <f t="shared" si="29"/>
        <v>222.14034954187616</v>
      </c>
      <c r="H633" s="9">
        <v>10866</v>
      </c>
    </row>
    <row r="634" spans="1:8">
      <c r="A634">
        <f t="shared" si="27"/>
        <v>1.3498911155577799E-6</v>
      </c>
      <c r="B634" s="9">
        <v>1.34989111555778</v>
      </c>
      <c r="C634">
        <f t="shared" si="28"/>
        <v>222086392409601.62</v>
      </c>
      <c r="D634">
        <f t="shared" si="29"/>
        <v>222.08639240960161</v>
      </c>
      <c r="H634" s="9">
        <v>10866</v>
      </c>
    </row>
    <row r="635" spans="1:8">
      <c r="A635">
        <f t="shared" si="27"/>
        <v>1.3502189994997501E-6</v>
      </c>
      <c r="B635" s="9">
        <v>1.35021899949975</v>
      </c>
      <c r="C635">
        <f t="shared" si="28"/>
        <v>222032461482968.12</v>
      </c>
      <c r="D635">
        <f t="shared" si="29"/>
        <v>222.03246148296813</v>
      </c>
      <c r="H635" s="9">
        <v>10866</v>
      </c>
    </row>
    <row r="636" spans="1:8">
      <c r="A636">
        <f t="shared" si="27"/>
        <v>1.35054688344172E-6</v>
      </c>
      <c r="B636" s="9">
        <v>1.35054688344172</v>
      </c>
      <c r="C636">
        <f t="shared" si="28"/>
        <v>221978556742889.19</v>
      </c>
      <c r="D636">
        <f t="shared" si="29"/>
        <v>221.9785567428892</v>
      </c>
      <c r="H636" s="9">
        <v>10866</v>
      </c>
    </row>
    <row r="637" spans="1:8">
      <c r="A637">
        <f t="shared" si="27"/>
        <v>1.3508747673836902E-6</v>
      </c>
      <c r="B637" s="9">
        <v>1.3508747673836901</v>
      </c>
      <c r="C637">
        <f t="shared" si="28"/>
        <v>221924678170296.81</v>
      </c>
      <c r="D637">
        <f t="shared" si="29"/>
        <v>221.9246781702968</v>
      </c>
      <c r="H637" s="9">
        <v>10866</v>
      </c>
    </row>
    <row r="638" spans="1:8">
      <c r="A638">
        <f t="shared" si="27"/>
        <v>1.3512026513256601E-6</v>
      </c>
      <c r="B638" s="9">
        <v>1.3512026513256601</v>
      </c>
      <c r="C638">
        <f t="shared" si="28"/>
        <v>221870825746141.56</v>
      </c>
      <c r="D638">
        <f t="shared" si="29"/>
        <v>221.87082574614155</v>
      </c>
      <c r="H638" s="9">
        <v>10866</v>
      </c>
    </row>
    <row r="639" spans="1:8">
      <c r="A639">
        <f t="shared" si="27"/>
        <v>1.3515305352676298E-6</v>
      </c>
      <c r="B639" s="9">
        <v>1.3515305352676299</v>
      </c>
      <c r="C639">
        <f t="shared" si="28"/>
        <v>221816999451392.44</v>
      </c>
      <c r="D639">
        <f t="shared" si="29"/>
        <v>221.81699945139243</v>
      </c>
      <c r="H639" s="9">
        <v>10866</v>
      </c>
    </row>
    <row r="640" spans="1:8">
      <c r="A640">
        <f t="shared" si="27"/>
        <v>1.3518584192096E-6</v>
      </c>
      <c r="B640" s="9">
        <v>1.3518584192095999</v>
      </c>
      <c r="C640">
        <f t="shared" si="28"/>
        <v>221763199267036.87</v>
      </c>
      <c r="D640">
        <f t="shared" si="29"/>
        <v>221.76319926703687</v>
      </c>
      <c r="H640" s="9">
        <v>10866</v>
      </c>
    </row>
    <row r="641" spans="1:8">
      <c r="A641">
        <f t="shared" si="27"/>
        <v>1.3521863031515799E-6</v>
      </c>
      <c r="B641" s="9">
        <v>1.3521863031515799</v>
      </c>
      <c r="C641">
        <f t="shared" si="28"/>
        <v>221709425174079.22</v>
      </c>
      <c r="D641">
        <f t="shared" si="29"/>
        <v>221.70942517407923</v>
      </c>
      <c r="H641" s="9">
        <v>10866</v>
      </c>
    </row>
    <row r="642" spans="1:8">
      <c r="A642">
        <f t="shared" si="27"/>
        <v>1.35251418709355E-6</v>
      </c>
      <c r="B642" s="9">
        <v>1.35251418709355</v>
      </c>
      <c r="C642">
        <f t="shared" si="28"/>
        <v>221655677153547</v>
      </c>
      <c r="D642">
        <f t="shared" si="29"/>
        <v>221.655677153547</v>
      </c>
      <c r="H642" s="9">
        <v>10866</v>
      </c>
    </row>
    <row r="643" spans="1:8">
      <c r="A643">
        <f t="shared" si="27"/>
        <v>1.3528420710355199E-6</v>
      </c>
      <c r="B643" s="9">
        <v>1.35284207103552</v>
      </c>
      <c r="C643">
        <f t="shared" si="28"/>
        <v>221601955186481.41</v>
      </c>
      <c r="D643">
        <f t="shared" si="29"/>
        <v>221.6019551864814</v>
      </c>
      <c r="H643" s="9">
        <v>10866</v>
      </c>
    </row>
    <row r="644" spans="1:8">
      <c r="A644">
        <f t="shared" si="27"/>
        <v>1.3531699549774901E-6</v>
      </c>
      <c r="B644" s="9">
        <v>1.35316995497749</v>
      </c>
      <c r="C644">
        <f t="shared" si="28"/>
        <v>221548259253943.5</v>
      </c>
      <c r="D644">
        <f t="shared" si="29"/>
        <v>221.54825925394351</v>
      </c>
      <c r="H644" s="9">
        <v>10866</v>
      </c>
    </row>
    <row r="645" spans="1:8">
      <c r="A645">
        <f t="shared" si="27"/>
        <v>1.35349783891946E-6</v>
      </c>
      <c r="B645" s="9">
        <v>1.3534978389194601</v>
      </c>
      <c r="C645">
        <f t="shared" si="28"/>
        <v>221494589337012.72</v>
      </c>
      <c r="D645">
        <f t="shared" si="29"/>
        <v>221.49458933701271</v>
      </c>
      <c r="H645" s="9">
        <v>10866</v>
      </c>
    </row>
    <row r="646" spans="1:8">
      <c r="A646">
        <f t="shared" si="27"/>
        <v>1.3538257228614302E-6</v>
      </c>
      <c r="B646" s="9">
        <v>1.3538257228614301</v>
      </c>
      <c r="C646">
        <f t="shared" si="28"/>
        <v>221440945416786.91</v>
      </c>
      <c r="D646">
        <f t="shared" si="29"/>
        <v>221.44094541678692</v>
      </c>
      <c r="H646" s="9">
        <v>10866</v>
      </c>
    </row>
    <row r="647" spans="1:8">
      <c r="A647">
        <f t="shared" ref="A647:A710" si="30">B647/1000000</f>
        <v>1.3541536068033999E-6</v>
      </c>
      <c r="B647" s="9">
        <v>1.3541536068033999</v>
      </c>
      <c r="C647">
        <f t="shared" ref="C647:C710" si="31">wavelength_to_freq(B647)</f>
        <v>221387327474382.12</v>
      </c>
      <c r="D647">
        <f t="shared" ref="D647:D710" si="32">C647/1000000000000</f>
        <v>221.38732747438212</v>
      </c>
      <c r="H647" s="9">
        <v>10866</v>
      </c>
    </row>
    <row r="648" spans="1:8">
      <c r="A648">
        <f t="shared" si="30"/>
        <v>1.35448149074537E-6</v>
      </c>
      <c r="B648" s="9">
        <v>1.3544814907453699</v>
      </c>
      <c r="C648">
        <f t="shared" si="31"/>
        <v>221333735490932.75</v>
      </c>
      <c r="D648">
        <f t="shared" si="32"/>
        <v>221.33373549093275</v>
      </c>
      <c r="H648" s="9">
        <v>10866</v>
      </c>
    </row>
    <row r="649" spans="1:8">
      <c r="A649">
        <f t="shared" si="30"/>
        <v>1.35480937468734E-6</v>
      </c>
      <c r="B649" s="9">
        <v>1.35480937468734</v>
      </c>
      <c r="C649">
        <f t="shared" si="31"/>
        <v>221280169447591.44</v>
      </c>
      <c r="D649">
        <f t="shared" si="32"/>
        <v>221.28016944759145</v>
      </c>
      <c r="H649" s="9">
        <v>10866</v>
      </c>
    </row>
    <row r="650" spans="1:8">
      <c r="A650">
        <f t="shared" si="30"/>
        <v>1.3551372586293099E-6</v>
      </c>
      <c r="B650" s="9">
        <v>1.35513725862931</v>
      </c>
      <c r="C650">
        <f t="shared" si="31"/>
        <v>221226629325529.09</v>
      </c>
      <c r="D650">
        <f t="shared" si="32"/>
        <v>221.2266293255291</v>
      </c>
      <c r="H650" s="9">
        <v>10866</v>
      </c>
    </row>
    <row r="651" spans="1:8">
      <c r="A651">
        <f t="shared" si="30"/>
        <v>1.35546514257129E-6</v>
      </c>
      <c r="B651" s="9">
        <v>1.35546514257129</v>
      </c>
      <c r="C651">
        <f t="shared" si="31"/>
        <v>221173115105933.12</v>
      </c>
      <c r="D651">
        <f t="shared" si="32"/>
        <v>221.17311510593314</v>
      </c>
      <c r="H651" s="9">
        <v>10866</v>
      </c>
    </row>
    <row r="652" spans="1:8">
      <c r="A652">
        <f t="shared" si="30"/>
        <v>1.3557930265132602E-6</v>
      </c>
      <c r="B652" s="9">
        <v>1.3557930265132601</v>
      </c>
      <c r="C652">
        <f t="shared" si="31"/>
        <v>221119626770014.19</v>
      </c>
      <c r="D652">
        <f t="shared" si="32"/>
        <v>221.11962677001418</v>
      </c>
      <c r="H652" s="9">
        <v>10866</v>
      </c>
    </row>
    <row r="653" spans="1:8">
      <c r="A653">
        <f t="shared" si="30"/>
        <v>1.3561209104552301E-6</v>
      </c>
      <c r="B653" s="9">
        <v>1.3561209104552301</v>
      </c>
      <c r="C653">
        <f t="shared" si="31"/>
        <v>221066164298996.03</v>
      </c>
      <c r="D653">
        <f t="shared" si="32"/>
        <v>221.06616429899603</v>
      </c>
      <c r="H653" s="9">
        <v>10866</v>
      </c>
    </row>
    <row r="654" spans="1:8">
      <c r="A654">
        <f t="shared" si="30"/>
        <v>1.3564487943971998E-6</v>
      </c>
      <c r="B654" s="9">
        <v>1.3564487943971999</v>
      </c>
      <c r="C654">
        <f t="shared" si="31"/>
        <v>221012727674122.41</v>
      </c>
      <c r="D654">
        <f t="shared" si="32"/>
        <v>221.0127276741224</v>
      </c>
      <c r="H654" s="9">
        <v>10866</v>
      </c>
    </row>
    <row r="655" spans="1:8">
      <c r="A655">
        <f t="shared" si="30"/>
        <v>1.35677667833917E-6</v>
      </c>
      <c r="B655" s="9">
        <v>1.3567766783391699</v>
      </c>
      <c r="C655">
        <f t="shared" si="31"/>
        <v>220959316876654.97</v>
      </c>
      <c r="D655">
        <f t="shared" si="32"/>
        <v>220.95931687665498</v>
      </c>
      <c r="H655" s="9">
        <v>10866</v>
      </c>
    </row>
    <row r="656" spans="1:8">
      <c r="A656">
        <f t="shared" si="30"/>
        <v>1.3571045622811399E-6</v>
      </c>
      <c r="B656" s="9">
        <v>1.35710456228114</v>
      </c>
      <c r="C656">
        <f t="shared" si="31"/>
        <v>220905931887873.59</v>
      </c>
      <c r="D656">
        <f t="shared" si="32"/>
        <v>220.90593188787361</v>
      </c>
      <c r="H656" s="9">
        <v>10866</v>
      </c>
    </row>
    <row r="657" spans="1:8">
      <c r="A657">
        <f t="shared" si="30"/>
        <v>1.35743244622311E-6</v>
      </c>
      <c r="B657" s="9">
        <v>1.35743244622311</v>
      </c>
      <c r="C657">
        <f t="shared" si="31"/>
        <v>220852572689076.25</v>
      </c>
      <c r="D657">
        <f t="shared" si="32"/>
        <v>220.85257268907625</v>
      </c>
      <c r="H657" s="9">
        <v>10866</v>
      </c>
    </row>
    <row r="658" spans="1:8">
      <c r="A658">
        <f t="shared" si="30"/>
        <v>1.35776033016508E-6</v>
      </c>
      <c r="B658" s="9">
        <v>1.35776033016508</v>
      </c>
      <c r="C658">
        <f t="shared" si="31"/>
        <v>220799239261579</v>
      </c>
      <c r="D658">
        <f t="shared" si="32"/>
        <v>220.799239261579</v>
      </c>
      <c r="H658" s="9">
        <v>10866</v>
      </c>
    </row>
    <row r="659" spans="1:8">
      <c r="A659">
        <f t="shared" si="30"/>
        <v>1.3580882141070501E-6</v>
      </c>
      <c r="B659" s="9">
        <v>1.3580882141070501</v>
      </c>
      <c r="C659">
        <f t="shared" si="31"/>
        <v>220745931586715.87</v>
      </c>
      <c r="D659">
        <f t="shared" si="32"/>
        <v>220.74593158671587</v>
      </c>
      <c r="H659" s="9">
        <v>10866</v>
      </c>
    </row>
    <row r="660" spans="1:8">
      <c r="A660">
        <f t="shared" si="30"/>
        <v>1.3584160980490201E-6</v>
      </c>
      <c r="B660" s="9">
        <v>1.3584160980490201</v>
      </c>
      <c r="C660">
        <f t="shared" si="31"/>
        <v>220692649645838.94</v>
      </c>
      <c r="D660">
        <f t="shared" si="32"/>
        <v>220.69264964583894</v>
      </c>
      <c r="H660" s="9">
        <v>10866</v>
      </c>
    </row>
    <row r="661" spans="1:8">
      <c r="A661">
        <f t="shared" si="30"/>
        <v>1.3587439819910002E-6</v>
      </c>
      <c r="B661" s="9">
        <v>1.3587439819910001</v>
      </c>
      <c r="C661">
        <f t="shared" si="31"/>
        <v>220639393420316.72</v>
      </c>
      <c r="D661">
        <f t="shared" si="32"/>
        <v>220.63939342031671</v>
      </c>
      <c r="H661" s="9">
        <v>10866</v>
      </c>
    </row>
    <row r="662" spans="1:8">
      <c r="A662">
        <f t="shared" si="30"/>
        <v>1.3590718659329699E-6</v>
      </c>
      <c r="B662" s="9">
        <v>1.3590718659329699</v>
      </c>
      <c r="C662">
        <f t="shared" si="31"/>
        <v>220586162891540.5</v>
      </c>
      <c r="D662">
        <f t="shared" si="32"/>
        <v>220.58616289154051</v>
      </c>
      <c r="H662" s="9">
        <v>10866</v>
      </c>
    </row>
    <row r="663" spans="1:8">
      <c r="A663">
        <f t="shared" si="30"/>
        <v>1.35939974987494E-6</v>
      </c>
      <c r="B663" s="9">
        <v>1.3593997498749399</v>
      </c>
      <c r="C663">
        <f t="shared" si="31"/>
        <v>220532958040914.66</v>
      </c>
      <c r="D663">
        <f t="shared" si="32"/>
        <v>220.53295804091465</v>
      </c>
      <c r="H663" s="9">
        <v>10866</v>
      </c>
    </row>
    <row r="664" spans="1:8">
      <c r="A664">
        <f t="shared" si="30"/>
        <v>1.35972763381691E-6</v>
      </c>
      <c r="B664" s="9">
        <v>1.35972763381691</v>
      </c>
      <c r="C664">
        <f t="shared" si="31"/>
        <v>220479778849863.12</v>
      </c>
      <c r="D664">
        <f t="shared" si="32"/>
        <v>220.47977884986312</v>
      </c>
      <c r="H664" s="9">
        <v>10866</v>
      </c>
    </row>
    <row r="665" spans="1:8">
      <c r="A665">
        <f t="shared" si="30"/>
        <v>1.3600555177588799E-6</v>
      </c>
      <c r="B665" s="9">
        <v>1.36005551775888</v>
      </c>
      <c r="C665">
        <f t="shared" si="31"/>
        <v>220426625299827.84</v>
      </c>
      <c r="D665">
        <f t="shared" si="32"/>
        <v>220.42662529982783</v>
      </c>
      <c r="H665" s="9">
        <v>10866</v>
      </c>
    </row>
    <row r="666" spans="1:8">
      <c r="A666">
        <f t="shared" si="30"/>
        <v>1.3603834017008501E-6</v>
      </c>
      <c r="B666" s="9">
        <v>1.36038340170085</v>
      </c>
      <c r="C666">
        <f t="shared" si="31"/>
        <v>220373497372268.53</v>
      </c>
      <c r="D666">
        <f t="shared" si="32"/>
        <v>220.37349737226853</v>
      </c>
      <c r="H666" s="9">
        <v>10866</v>
      </c>
    </row>
    <row r="667" spans="1:8">
      <c r="A667">
        <f t="shared" si="30"/>
        <v>1.36071128564282E-6</v>
      </c>
      <c r="B667" s="9">
        <v>1.3607112856428201</v>
      </c>
      <c r="C667">
        <f t="shared" si="31"/>
        <v>220320395048662.81</v>
      </c>
      <c r="D667">
        <f t="shared" si="32"/>
        <v>220.32039504866282</v>
      </c>
      <c r="H667" s="9">
        <v>10866</v>
      </c>
    </row>
    <row r="668" spans="1:8">
      <c r="A668">
        <f t="shared" si="30"/>
        <v>1.3610391695847901E-6</v>
      </c>
      <c r="B668" s="9">
        <v>1.3610391695847901</v>
      </c>
      <c r="C668">
        <f t="shared" si="31"/>
        <v>220267318310506.22</v>
      </c>
      <c r="D668">
        <f t="shared" si="32"/>
        <v>220.26731831050623</v>
      </c>
      <c r="H668" s="9">
        <v>10866</v>
      </c>
    </row>
    <row r="669" spans="1:8">
      <c r="A669">
        <f t="shared" si="30"/>
        <v>1.3613670535267599E-6</v>
      </c>
      <c r="B669" s="9">
        <v>1.3613670535267599</v>
      </c>
      <c r="C669">
        <f t="shared" si="31"/>
        <v>220214267139312.03</v>
      </c>
      <c r="D669">
        <f t="shared" si="32"/>
        <v>220.21426713931203</v>
      </c>
      <c r="H669" s="9">
        <v>10866</v>
      </c>
    </row>
    <row r="670" spans="1:8">
      <c r="A670">
        <f t="shared" si="30"/>
        <v>1.36169493746873E-6</v>
      </c>
      <c r="B670" s="9">
        <v>1.3616949374687299</v>
      </c>
      <c r="C670">
        <f t="shared" si="31"/>
        <v>220161241516611.31</v>
      </c>
      <c r="D670">
        <f t="shared" si="32"/>
        <v>220.16124151661131</v>
      </c>
      <c r="H670" s="9">
        <v>10866</v>
      </c>
    </row>
    <row r="671" spans="1:8">
      <c r="A671">
        <f t="shared" si="30"/>
        <v>1.3620228214107099E-6</v>
      </c>
      <c r="B671" s="9">
        <v>1.36202282141071</v>
      </c>
      <c r="C671">
        <f t="shared" si="31"/>
        <v>220108241423951.41</v>
      </c>
      <c r="D671">
        <f t="shared" si="32"/>
        <v>220.1082414239514</v>
      </c>
      <c r="H671" s="9">
        <v>10866</v>
      </c>
    </row>
    <row r="672" spans="1:8">
      <c r="A672">
        <f t="shared" si="30"/>
        <v>1.36235070535268E-6</v>
      </c>
      <c r="B672" s="9">
        <v>1.36235070535268</v>
      </c>
      <c r="C672">
        <f t="shared" si="31"/>
        <v>220055266842902.19</v>
      </c>
      <c r="D672">
        <f t="shared" si="32"/>
        <v>220.0552668429022</v>
      </c>
      <c r="H672" s="9">
        <v>10866</v>
      </c>
    </row>
    <row r="673" spans="1:8">
      <c r="A673">
        <f t="shared" si="30"/>
        <v>1.36267858929465E-6</v>
      </c>
      <c r="B673" s="9">
        <v>1.36267858929465</v>
      </c>
      <c r="C673">
        <f t="shared" si="31"/>
        <v>220002317755046.44</v>
      </c>
      <c r="D673">
        <f t="shared" si="32"/>
        <v>220.00231775504645</v>
      </c>
      <c r="H673" s="9">
        <v>10866</v>
      </c>
    </row>
    <row r="674" spans="1:8">
      <c r="A674">
        <f t="shared" si="30"/>
        <v>1.3630064732366201E-6</v>
      </c>
      <c r="B674" s="9">
        <v>1.3630064732366201</v>
      </c>
      <c r="C674">
        <f t="shared" si="31"/>
        <v>219949394141986.28</v>
      </c>
      <c r="D674">
        <f t="shared" si="32"/>
        <v>219.94939414198629</v>
      </c>
      <c r="H674" s="9">
        <v>10866</v>
      </c>
    </row>
    <row r="675" spans="1:8">
      <c r="A675">
        <f t="shared" si="30"/>
        <v>1.3633343571785901E-6</v>
      </c>
      <c r="B675" s="9">
        <v>1.3633343571785901</v>
      </c>
      <c r="C675">
        <f t="shared" si="31"/>
        <v>219896495985341.53</v>
      </c>
      <c r="D675">
        <f t="shared" si="32"/>
        <v>219.89649598534155</v>
      </c>
      <c r="H675" s="9">
        <v>10866</v>
      </c>
    </row>
    <row r="676" spans="1:8">
      <c r="A676">
        <f t="shared" si="30"/>
        <v>1.3636622411205598E-6</v>
      </c>
      <c r="B676" s="9">
        <v>1.3636622411205599</v>
      </c>
      <c r="C676">
        <f t="shared" si="31"/>
        <v>219843623266749.72</v>
      </c>
      <c r="D676">
        <f t="shared" si="32"/>
        <v>219.84362326674972</v>
      </c>
      <c r="H676" s="9">
        <v>10866</v>
      </c>
    </row>
    <row r="677" spans="1:8">
      <c r="A677">
        <f t="shared" si="30"/>
        <v>1.3639901250625299E-6</v>
      </c>
      <c r="B677" s="9">
        <v>1.3639901250625299</v>
      </c>
      <c r="C677">
        <f t="shared" si="31"/>
        <v>219790775967865.97</v>
      </c>
      <c r="D677">
        <f t="shared" si="32"/>
        <v>219.79077596786598</v>
      </c>
      <c r="H677" s="9">
        <v>10866</v>
      </c>
    </row>
    <row r="678" spans="1:8">
      <c r="A678">
        <f t="shared" si="30"/>
        <v>1.3643180090044999E-6</v>
      </c>
      <c r="B678" s="9">
        <v>1.3643180090045</v>
      </c>
      <c r="C678">
        <f t="shared" si="31"/>
        <v>219737954070363.06</v>
      </c>
      <c r="D678">
        <f t="shared" si="32"/>
        <v>219.73795407036306</v>
      </c>
      <c r="H678" s="9">
        <v>10866</v>
      </c>
    </row>
    <row r="679" spans="1:8">
      <c r="A679">
        <f t="shared" si="30"/>
        <v>1.36464589294647E-6</v>
      </c>
      <c r="B679" s="9">
        <v>1.36464589294647</v>
      </c>
      <c r="C679">
        <f t="shared" si="31"/>
        <v>219685157555931.44</v>
      </c>
      <c r="D679">
        <f t="shared" si="32"/>
        <v>219.68515755593143</v>
      </c>
      <c r="H679" s="9">
        <v>10866</v>
      </c>
    </row>
    <row r="680" spans="1:8">
      <c r="A680">
        <f t="shared" si="30"/>
        <v>1.36497377688844E-6</v>
      </c>
      <c r="B680" s="9">
        <v>1.36497377688844</v>
      </c>
      <c r="C680">
        <f t="shared" si="31"/>
        <v>219632386406279.06</v>
      </c>
      <c r="D680">
        <f t="shared" si="32"/>
        <v>219.63238640627907</v>
      </c>
      <c r="H680" s="9">
        <v>10866</v>
      </c>
    </row>
    <row r="681" spans="1:8">
      <c r="A681">
        <f t="shared" si="30"/>
        <v>1.3653016608304201E-6</v>
      </c>
      <c r="B681" s="9">
        <v>1.36530166083042</v>
      </c>
      <c r="C681">
        <f t="shared" si="31"/>
        <v>219579640603129.91</v>
      </c>
      <c r="D681">
        <f t="shared" si="32"/>
        <v>219.57964060312992</v>
      </c>
      <c r="H681" s="9">
        <v>10866</v>
      </c>
    </row>
    <row r="682" spans="1:8">
      <c r="A682">
        <f t="shared" si="30"/>
        <v>1.36562954477239E-6</v>
      </c>
      <c r="B682" s="9">
        <v>1.3656295447723901</v>
      </c>
      <c r="C682">
        <f t="shared" si="31"/>
        <v>219526920128230.31</v>
      </c>
      <c r="D682">
        <f t="shared" si="32"/>
        <v>219.5269201282303</v>
      </c>
      <c r="H682" s="9">
        <v>10866</v>
      </c>
    </row>
    <row r="683" spans="1:8">
      <c r="A683">
        <f t="shared" si="30"/>
        <v>1.3659574287143601E-6</v>
      </c>
      <c r="B683" s="9">
        <v>1.3659574287143601</v>
      </c>
      <c r="C683">
        <f t="shared" si="31"/>
        <v>219474224963339.31</v>
      </c>
      <c r="D683">
        <f t="shared" si="32"/>
        <v>219.47422496333931</v>
      </c>
      <c r="H683" s="9">
        <v>10866</v>
      </c>
    </row>
    <row r="684" spans="1:8">
      <c r="A684">
        <f t="shared" si="30"/>
        <v>1.3662853126563299E-6</v>
      </c>
      <c r="B684" s="9">
        <v>1.3662853126563299</v>
      </c>
      <c r="C684">
        <f t="shared" si="31"/>
        <v>219421555090235.12</v>
      </c>
      <c r="D684">
        <f t="shared" si="32"/>
        <v>219.42155509023513</v>
      </c>
      <c r="H684" s="9">
        <v>10866</v>
      </c>
    </row>
    <row r="685" spans="1:8">
      <c r="A685">
        <f t="shared" si="30"/>
        <v>1.3666131965983E-6</v>
      </c>
      <c r="B685" s="9">
        <v>1.3666131965982999</v>
      </c>
      <c r="C685">
        <f t="shared" si="31"/>
        <v>219368910490713.28</v>
      </c>
      <c r="D685">
        <f t="shared" si="32"/>
        <v>219.36891049071329</v>
      </c>
      <c r="H685" s="9">
        <v>10866</v>
      </c>
    </row>
    <row r="686" spans="1:8">
      <c r="A686">
        <f t="shared" si="30"/>
        <v>1.3669410805402699E-6</v>
      </c>
      <c r="B686" s="9">
        <v>1.36694108054027</v>
      </c>
      <c r="C686">
        <f t="shared" si="31"/>
        <v>219316291146586.94</v>
      </c>
      <c r="D686">
        <f t="shared" si="32"/>
        <v>219.31629114658693</v>
      </c>
      <c r="H686" s="9">
        <v>10866</v>
      </c>
    </row>
    <row r="687" spans="1:8">
      <c r="A687">
        <f t="shared" si="30"/>
        <v>1.3672689644822401E-6</v>
      </c>
      <c r="B687" s="9">
        <v>1.36726896448224</v>
      </c>
      <c r="C687">
        <f t="shared" si="31"/>
        <v>219263697039686.69</v>
      </c>
      <c r="D687">
        <f t="shared" si="32"/>
        <v>219.26369703968669</v>
      </c>
      <c r="H687" s="9">
        <v>10866</v>
      </c>
    </row>
    <row r="688" spans="1:8">
      <c r="A688">
        <f t="shared" si="30"/>
        <v>1.36759684842421E-6</v>
      </c>
      <c r="B688" s="9">
        <v>1.36759684842421</v>
      </c>
      <c r="C688">
        <f t="shared" si="31"/>
        <v>219211128151860.47</v>
      </c>
      <c r="D688">
        <f t="shared" si="32"/>
        <v>219.21112815186046</v>
      </c>
      <c r="H688" s="9">
        <v>10866</v>
      </c>
    </row>
    <row r="689" spans="1:8">
      <c r="A689">
        <f t="shared" si="30"/>
        <v>1.36792473236618E-6</v>
      </c>
      <c r="B689" s="9">
        <v>1.3679247323661801</v>
      </c>
      <c r="C689">
        <f t="shared" si="31"/>
        <v>219158584464973.69</v>
      </c>
      <c r="D689">
        <f t="shared" si="32"/>
        <v>219.1585844649737</v>
      </c>
      <c r="H689" s="9">
        <v>10866</v>
      </c>
    </row>
    <row r="690" spans="1:8">
      <c r="A690">
        <f t="shared" si="30"/>
        <v>1.3682526163081501E-6</v>
      </c>
      <c r="B690" s="9">
        <v>1.3682526163081501</v>
      </c>
      <c r="C690">
        <f t="shared" si="31"/>
        <v>219106065960909.12</v>
      </c>
      <c r="D690">
        <f t="shared" si="32"/>
        <v>219.10606596090912</v>
      </c>
      <c r="H690" s="9">
        <v>10866</v>
      </c>
    </row>
    <row r="691" spans="1:8">
      <c r="A691">
        <f t="shared" si="30"/>
        <v>1.36858050025013E-6</v>
      </c>
      <c r="B691" s="9">
        <v>1.3685805002501299</v>
      </c>
      <c r="C691">
        <f t="shared" si="31"/>
        <v>219053572621565.31</v>
      </c>
      <c r="D691">
        <f t="shared" si="32"/>
        <v>219.05357262156531</v>
      </c>
      <c r="H691" s="9">
        <v>10866</v>
      </c>
    </row>
    <row r="692" spans="1:8">
      <c r="A692">
        <f t="shared" si="30"/>
        <v>1.3689083841920999E-6</v>
      </c>
      <c r="B692" s="9">
        <v>1.3689083841920999</v>
      </c>
      <c r="C692">
        <f t="shared" si="31"/>
        <v>219001104428862.87</v>
      </c>
      <c r="D692">
        <f t="shared" si="32"/>
        <v>219.00110442886287</v>
      </c>
      <c r="H692" s="9">
        <v>10866</v>
      </c>
    </row>
    <row r="693" spans="1:8">
      <c r="A693">
        <f t="shared" si="30"/>
        <v>1.3692362681340699E-6</v>
      </c>
      <c r="B693" s="9">
        <v>1.36923626813407</v>
      </c>
      <c r="C693">
        <f t="shared" si="31"/>
        <v>218948661364735.03</v>
      </c>
      <c r="D693">
        <f t="shared" si="32"/>
        <v>218.94866136473505</v>
      </c>
      <c r="H693" s="9">
        <v>10866</v>
      </c>
    </row>
    <row r="694" spans="1:8">
      <c r="A694">
        <f t="shared" si="30"/>
        <v>1.36956415207604E-6</v>
      </c>
      <c r="B694" s="9">
        <v>1.36956415207604</v>
      </c>
      <c r="C694">
        <f t="shared" si="31"/>
        <v>218896243411133.87</v>
      </c>
      <c r="D694">
        <f t="shared" si="32"/>
        <v>218.89624341113387</v>
      </c>
      <c r="H694" s="9">
        <v>10866</v>
      </c>
    </row>
    <row r="695" spans="1:8">
      <c r="A695">
        <f t="shared" si="30"/>
        <v>1.36989203601801E-6</v>
      </c>
      <c r="B695" s="9">
        <v>1.36989203601801</v>
      </c>
      <c r="C695">
        <f t="shared" si="31"/>
        <v>218843850550028.75</v>
      </c>
      <c r="D695">
        <f t="shared" si="32"/>
        <v>218.84385055002875</v>
      </c>
      <c r="H695" s="9">
        <v>10866</v>
      </c>
    </row>
    <row r="696" spans="1:8">
      <c r="A696">
        <f t="shared" si="30"/>
        <v>1.3702199199599801E-6</v>
      </c>
      <c r="B696" s="9">
        <v>1.37021991995998</v>
      </c>
      <c r="C696">
        <f t="shared" si="31"/>
        <v>218791482763406.34</v>
      </c>
      <c r="D696">
        <f t="shared" si="32"/>
        <v>218.79148276340635</v>
      </c>
      <c r="H696" s="9">
        <v>10866</v>
      </c>
    </row>
    <row r="697" spans="1:8">
      <c r="A697">
        <f t="shared" si="30"/>
        <v>1.37054780390195E-6</v>
      </c>
      <c r="B697" s="9">
        <v>1.3705478039019501</v>
      </c>
      <c r="C697">
        <f t="shared" si="31"/>
        <v>218739140033270.5</v>
      </c>
      <c r="D697">
        <f t="shared" si="32"/>
        <v>218.7391400332705</v>
      </c>
      <c r="H697" s="9">
        <v>10866</v>
      </c>
    </row>
    <row r="698" spans="1:8">
      <c r="A698">
        <f t="shared" si="30"/>
        <v>1.3708756878439202E-6</v>
      </c>
      <c r="B698" s="9">
        <v>1.3708756878439201</v>
      </c>
      <c r="C698">
        <f t="shared" si="31"/>
        <v>218686822341642.28</v>
      </c>
      <c r="D698">
        <f t="shared" si="32"/>
        <v>218.68682234164228</v>
      </c>
      <c r="H698" s="9">
        <v>10866</v>
      </c>
    </row>
    <row r="699" spans="1:8">
      <c r="A699">
        <f t="shared" si="30"/>
        <v>1.3712035717858899E-6</v>
      </c>
      <c r="B699" s="9">
        <v>1.3712035717858899</v>
      </c>
      <c r="C699">
        <f t="shared" si="31"/>
        <v>218634529670560</v>
      </c>
      <c r="D699">
        <f t="shared" si="32"/>
        <v>218.63452967056</v>
      </c>
      <c r="H699" s="9">
        <v>10866</v>
      </c>
    </row>
    <row r="700" spans="1:8">
      <c r="A700">
        <f t="shared" si="30"/>
        <v>1.3715314557278601E-6</v>
      </c>
      <c r="B700" s="9">
        <v>1.3715314557278599</v>
      </c>
      <c r="C700">
        <f t="shared" si="31"/>
        <v>218582262002079.06</v>
      </c>
      <c r="D700">
        <f t="shared" si="32"/>
        <v>218.58226200207906</v>
      </c>
      <c r="H700" s="9">
        <v>10866</v>
      </c>
    </row>
    <row r="701" spans="1:8">
      <c r="A701">
        <f t="shared" si="30"/>
        <v>1.37185933966983E-6</v>
      </c>
      <c r="B701" s="9">
        <v>1.37185933966983</v>
      </c>
      <c r="C701">
        <f t="shared" si="31"/>
        <v>218530019318272.12</v>
      </c>
      <c r="D701">
        <f t="shared" si="32"/>
        <v>218.53001931827214</v>
      </c>
      <c r="H701" s="9">
        <v>10866</v>
      </c>
    </row>
    <row r="702" spans="1:8">
      <c r="A702">
        <f t="shared" si="30"/>
        <v>1.3721872236118101E-6</v>
      </c>
      <c r="B702" s="9">
        <v>1.37218722361181</v>
      </c>
      <c r="C702">
        <f t="shared" si="31"/>
        <v>218477801601227.34</v>
      </c>
      <c r="D702">
        <f t="shared" si="32"/>
        <v>218.47780160122736</v>
      </c>
      <c r="H702" s="9">
        <v>10866</v>
      </c>
    </row>
    <row r="703" spans="1:8">
      <c r="A703">
        <f t="shared" si="30"/>
        <v>1.37251510755378E-6</v>
      </c>
      <c r="B703" s="9">
        <v>1.37251510755378</v>
      </c>
      <c r="C703">
        <f t="shared" si="31"/>
        <v>218425608833054.72</v>
      </c>
      <c r="D703">
        <f t="shared" si="32"/>
        <v>218.42560883305472</v>
      </c>
      <c r="H703" s="9">
        <v>10866</v>
      </c>
    </row>
    <row r="704" spans="1:8">
      <c r="A704">
        <f t="shared" si="30"/>
        <v>1.37284299149575E-6</v>
      </c>
      <c r="B704" s="9">
        <v>1.3728429914957501</v>
      </c>
      <c r="C704">
        <f t="shared" si="31"/>
        <v>218373440995876.69</v>
      </c>
      <c r="D704">
        <f t="shared" si="32"/>
        <v>218.37344099587668</v>
      </c>
      <c r="H704" s="9">
        <v>10866</v>
      </c>
    </row>
    <row r="705" spans="1:8">
      <c r="A705">
        <f t="shared" si="30"/>
        <v>1.3731708754377201E-6</v>
      </c>
      <c r="B705" s="9">
        <v>1.3731708754377201</v>
      </c>
      <c r="C705">
        <f t="shared" si="31"/>
        <v>218321298071834.19</v>
      </c>
      <c r="D705">
        <f t="shared" si="32"/>
        <v>218.32129807183418</v>
      </c>
      <c r="H705" s="9">
        <v>10866</v>
      </c>
    </row>
    <row r="706" spans="1:8">
      <c r="A706">
        <f t="shared" si="30"/>
        <v>1.3734987593796898E-6</v>
      </c>
      <c r="B706" s="9">
        <v>1.3734987593796899</v>
      </c>
      <c r="C706">
        <f t="shared" si="31"/>
        <v>218269180043085.44</v>
      </c>
      <c r="D706">
        <f t="shared" si="32"/>
        <v>218.26918004308544</v>
      </c>
      <c r="H706" s="9">
        <v>10866</v>
      </c>
    </row>
    <row r="707" spans="1:8">
      <c r="A707">
        <f t="shared" si="30"/>
        <v>1.37382664332166E-6</v>
      </c>
      <c r="B707" s="9">
        <v>1.3738266433216599</v>
      </c>
      <c r="C707">
        <f t="shared" si="31"/>
        <v>218217086891805.41</v>
      </c>
      <c r="D707">
        <f t="shared" si="32"/>
        <v>218.21708689180539</v>
      </c>
      <c r="H707" s="9">
        <v>10866</v>
      </c>
    </row>
    <row r="708" spans="1:8">
      <c r="A708">
        <f t="shared" si="30"/>
        <v>1.3741545272636299E-6</v>
      </c>
      <c r="B708" s="9">
        <v>1.37415452726363</v>
      </c>
      <c r="C708">
        <f t="shared" si="31"/>
        <v>218165018600186.28</v>
      </c>
      <c r="D708">
        <f t="shared" si="32"/>
        <v>218.16501860018627</v>
      </c>
      <c r="H708" s="9">
        <v>10866</v>
      </c>
    </row>
    <row r="709" spans="1:8">
      <c r="A709">
        <f t="shared" si="30"/>
        <v>1.3744824112056001E-6</v>
      </c>
      <c r="B709" s="9">
        <v>1.3744824112056</v>
      </c>
      <c r="C709">
        <f t="shared" si="31"/>
        <v>218112975150437.19</v>
      </c>
      <c r="D709">
        <f t="shared" si="32"/>
        <v>218.11297515043719</v>
      </c>
      <c r="H709" s="9">
        <v>10866</v>
      </c>
    </row>
    <row r="710" spans="1:8">
      <c r="A710">
        <f t="shared" si="30"/>
        <v>1.37481029514757E-6</v>
      </c>
      <c r="B710" s="9">
        <v>1.37481029514757</v>
      </c>
      <c r="C710">
        <f t="shared" si="31"/>
        <v>218060956524784.19</v>
      </c>
      <c r="D710">
        <f t="shared" si="32"/>
        <v>218.06095652478419</v>
      </c>
      <c r="H710" s="9">
        <v>10866</v>
      </c>
    </row>
    <row r="711" spans="1:8">
      <c r="A711">
        <f t="shared" ref="A711:A774" si="33">B711/1000000</f>
        <v>1.3751381790895401E-6</v>
      </c>
      <c r="B711" s="9">
        <v>1.3751381790895401</v>
      </c>
      <c r="C711">
        <f t="shared" ref="C711:C774" si="34">wavelength_to_freq(B711)</f>
        <v>218008962705470.37</v>
      </c>
      <c r="D711">
        <f t="shared" ref="D711:D774" si="35">C711/1000000000000</f>
        <v>218.00896270547037</v>
      </c>
      <c r="H711" s="9">
        <v>10866</v>
      </c>
    </row>
    <row r="712" spans="1:8">
      <c r="A712">
        <f t="shared" si="33"/>
        <v>1.37546606303152E-6</v>
      </c>
      <c r="B712" s="9">
        <v>1.3754660630315201</v>
      </c>
      <c r="C712">
        <f t="shared" si="34"/>
        <v>217956993674754.12</v>
      </c>
      <c r="D712">
        <f t="shared" si="35"/>
        <v>217.95699367475413</v>
      </c>
      <c r="H712" s="9">
        <v>10866</v>
      </c>
    </row>
    <row r="713" spans="1:8">
      <c r="A713">
        <f t="shared" si="33"/>
        <v>1.37579394697349E-6</v>
      </c>
      <c r="B713" s="9">
        <v>1.3757939469734899</v>
      </c>
      <c r="C713">
        <f t="shared" si="34"/>
        <v>217905049414915.53</v>
      </c>
      <c r="D713">
        <f t="shared" si="35"/>
        <v>217.90504941491554</v>
      </c>
      <c r="H713" s="9">
        <v>10866</v>
      </c>
    </row>
    <row r="714" spans="1:8">
      <c r="A714">
        <f t="shared" si="33"/>
        <v>1.3761218309154599E-6</v>
      </c>
      <c r="B714" s="9">
        <v>1.3761218309154599</v>
      </c>
      <c r="C714">
        <f t="shared" si="34"/>
        <v>217853129908246.72</v>
      </c>
      <c r="D714">
        <f t="shared" si="35"/>
        <v>217.85312990824673</v>
      </c>
      <c r="H714" s="9">
        <v>10866</v>
      </c>
    </row>
    <row r="715" spans="1:8">
      <c r="A715">
        <f t="shared" si="33"/>
        <v>1.3764497148574301E-6</v>
      </c>
      <c r="B715" s="9">
        <v>1.37644971485743</v>
      </c>
      <c r="C715">
        <f t="shared" si="34"/>
        <v>217801235137058.34</v>
      </c>
      <c r="D715">
        <f t="shared" si="35"/>
        <v>217.80123513705834</v>
      </c>
      <c r="H715" s="9">
        <v>10866</v>
      </c>
    </row>
    <row r="716" spans="1:8">
      <c r="A716">
        <f t="shared" si="33"/>
        <v>1.3767775987994E-6</v>
      </c>
      <c r="B716" s="9">
        <v>1.3767775987994</v>
      </c>
      <c r="C716">
        <f t="shared" si="34"/>
        <v>217749365083677.94</v>
      </c>
      <c r="D716">
        <f t="shared" si="35"/>
        <v>217.74936508367793</v>
      </c>
      <c r="H716" s="9">
        <v>10866</v>
      </c>
    </row>
    <row r="717" spans="1:8">
      <c r="A717">
        <f t="shared" si="33"/>
        <v>1.3771054827413699E-6</v>
      </c>
      <c r="B717" s="9">
        <v>1.37710548274137</v>
      </c>
      <c r="C717">
        <f t="shared" si="34"/>
        <v>217697519730449.81</v>
      </c>
      <c r="D717">
        <f t="shared" si="35"/>
        <v>217.69751973044981</v>
      </c>
      <c r="H717" s="9">
        <v>10866</v>
      </c>
    </row>
    <row r="718" spans="1:8">
      <c r="A718">
        <f t="shared" si="33"/>
        <v>1.3774333666833401E-6</v>
      </c>
      <c r="B718" s="9">
        <v>1.37743336668334</v>
      </c>
      <c r="C718">
        <f t="shared" si="34"/>
        <v>217645699059735.12</v>
      </c>
      <c r="D718">
        <f t="shared" si="35"/>
        <v>217.64569905973514</v>
      </c>
      <c r="H718" s="9">
        <v>10866</v>
      </c>
    </row>
    <row r="719" spans="1:8">
      <c r="A719">
        <f t="shared" si="33"/>
        <v>1.37776125062531E-6</v>
      </c>
      <c r="B719" s="9">
        <v>1.3777612506253101</v>
      </c>
      <c r="C719">
        <f t="shared" si="34"/>
        <v>217593903053911.81</v>
      </c>
      <c r="D719">
        <f t="shared" si="35"/>
        <v>217.59390305391182</v>
      </c>
      <c r="H719" s="9">
        <v>10866</v>
      </c>
    </row>
    <row r="720" spans="1:8">
      <c r="A720">
        <f t="shared" si="33"/>
        <v>1.3780891345672802E-6</v>
      </c>
      <c r="B720" s="9">
        <v>1.3780891345672801</v>
      </c>
      <c r="C720">
        <f t="shared" si="34"/>
        <v>217542131695374.56</v>
      </c>
      <c r="D720">
        <f t="shared" si="35"/>
        <v>217.54213169537456</v>
      </c>
      <c r="H720" s="9">
        <v>10866</v>
      </c>
    </row>
    <row r="721" spans="1:8">
      <c r="A721">
        <f t="shared" si="33"/>
        <v>1.3784170185092499E-6</v>
      </c>
      <c r="B721" s="9">
        <v>1.3784170185092499</v>
      </c>
      <c r="C721">
        <f t="shared" si="34"/>
        <v>217490384966534.87</v>
      </c>
      <c r="D721">
        <f t="shared" si="35"/>
        <v>217.49038496653486</v>
      </c>
      <c r="H721" s="9">
        <v>10866</v>
      </c>
    </row>
    <row r="722" spans="1:8">
      <c r="A722">
        <f t="shared" si="33"/>
        <v>1.37874490245123E-6</v>
      </c>
      <c r="B722" s="9">
        <v>1.3787449024512299</v>
      </c>
      <c r="C722">
        <f t="shared" si="34"/>
        <v>217438662849819.31</v>
      </c>
      <c r="D722">
        <f t="shared" si="35"/>
        <v>217.43866284981931</v>
      </c>
      <c r="H722" s="9">
        <v>10866</v>
      </c>
    </row>
    <row r="723" spans="1:8">
      <c r="A723">
        <f t="shared" si="33"/>
        <v>1.3790727863931999E-6</v>
      </c>
      <c r="B723" s="9">
        <v>1.3790727863932</v>
      </c>
      <c r="C723">
        <f t="shared" si="34"/>
        <v>217386965327675.94</v>
      </c>
      <c r="D723">
        <f t="shared" si="35"/>
        <v>217.38696532767594</v>
      </c>
      <c r="H723" s="9">
        <v>10866</v>
      </c>
    </row>
    <row r="724" spans="1:8">
      <c r="A724">
        <f t="shared" si="33"/>
        <v>1.3794006703351701E-6</v>
      </c>
      <c r="B724" s="9">
        <v>1.37940067033517</v>
      </c>
      <c r="C724">
        <f t="shared" si="34"/>
        <v>217335292382564.75</v>
      </c>
      <c r="D724">
        <f t="shared" si="35"/>
        <v>217.33529238256475</v>
      </c>
      <c r="H724" s="9">
        <v>10866</v>
      </c>
    </row>
    <row r="725" spans="1:8">
      <c r="A725">
        <f t="shared" si="33"/>
        <v>1.37972855427714E-6</v>
      </c>
      <c r="B725" s="9">
        <v>1.37972855427714</v>
      </c>
      <c r="C725">
        <f t="shared" si="34"/>
        <v>217283643996964.06</v>
      </c>
      <c r="D725">
        <f t="shared" si="35"/>
        <v>217.28364399696406</v>
      </c>
      <c r="H725" s="9">
        <v>10866</v>
      </c>
    </row>
    <row r="726" spans="1:8">
      <c r="A726">
        <f t="shared" si="33"/>
        <v>1.3800564382191101E-6</v>
      </c>
      <c r="B726" s="9">
        <v>1.3800564382191101</v>
      </c>
      <c r="C726">
        <f t="shared" si="34"/>
        <v>217232020153368.75</v>
      </c>
      <c r="D726">
        <f t="shared" si="35"/>
        <v>217.23202015336875</v>
      </c>
      <c r="H726" s="9">
        <v>10866</v>
      </c>
    </row>
    <row r="727" spans="1:8">
      <c r="A727">
        <f t="shared" si="33"/>
        <v>1.3803843221610801E-6</v>
      </c>
      <c r="B727" s="9">
        <v>1.3803843221610801</v>
      </c>
      <c r="C727">
        <f t="shared" si="34"/>
        <v>217180420834290.34</v>
      </c>
      <c r="D727">
        <f t="shared" si="35"/>
        <v>217.18042083429035</v>
      </c>
      <c r="H727" s="9">
        <v>10866</v>
      </c>
    </row>
    <row r="728" spans="1:8">
      <c r="A728">
        <f t="shared" si="33"/>
        <v>1.3807122061030498E-6</v>
      </c>
      <c r="B728" s="9">
        <v>1.3807122061030499</v>
      </c>
      <c r="C728">
        <f t="shared" si="34"/>
        <v>217128846022257.06</v>
      </c>
      <c r="D728">
        <f t="shared" si="35"/>
        <v>217.12884602225705</v>
      </c>
      <c r="H728" s="9">
        <v>10866</v>
      </c>
    </row>
    <row r="729" spans="1:8">
      <c r="A729">
        <f t="shared" si="33"/>
        <v>1.38104009004502E-6</v>
      </c>
      <c r="B729" s="9">
        <v>1.3810400900450199</v>
      </c>
      <c r="C729">
        <f t="shared" si="34"/>
        <v>217077295699813.59</v>
      </c>
      <c r="D729">
        <f t="shared" si="35"/>
        <v>217.07729569981359</v>
      </c>
      <c r="H729" s="9">
        <v>10866</v>
      </c>
    </row>
    <row r="730" spans="1:8">
      <c r="A730">
        <f t="shared" si="33"/>
        <v>1.3813679739869899E-6</v>
      </c>
      <c r="B730" s="9">
        <v>1.38136797398699</v>
      </c>
      <c r="C730">
        <f t="shared" si="34"/>
        <v>217025769849521.28</v>
      </c>
      <c r="D730">
        <f t="shared" si="35"/>
        <v>217.02576984952128</v>
      </c>
      <c r="H730" s="9">
        <v>10866</v>
      </c>
    </row>
    <row r="731" spans="1:8">
      <c r="A731">
        <f t="shared" si="33"/>
        <v>1.38169585792896E-6</v>
      </c>
      <c r="B731" s="9">
        <v>1.38169585792896</v>
      </c>
      <c r="C731">
        <f t="shared" si="34"/>
        <v>216974268453958</v>
      </c>
      <c r="D731">
        <f t="shared" si="35"/>
        <v>216.97426845395799</v>
      </c>
      <c r="H731" s="9">
        <v>10866</v>
      </c>
    </row>
    <row r="732" spans="1:8">
      <c r="A732">
        <f t="shared" si="33"/>
        <v>1.3820237418709399E-6</v>
      </c>
      <c r="B732" s="9">
        <v>1.38202374187094</v>
      </c>
      <c r="C732">
        <f t="shared" si="34"/>
        <v>216922791495716.62</v>
      </c>
      <c r="D732">
        <f t="shared" si="35"/>
        <v>216.92279149571664</v>
      </c>
      <c r="H732" s="9">
        <v>10866</v>
      </c>
    </row>
    <row r="733" spans="1:8">
      <c r="A733">
        <f t="shared" si="33"/>
        <v>1.3823516258129101E-6</v>
      </c>
      <c r="B733" s="9">
        <v>1.38235162581291</v>
      </c>
      <c r="C733">
        <f t="shared" si="34"/>
        <v>216871338957411.16</v>
      </c>
      <c r="D733">
        <f t="shared" si="35"/>
        <v>216.87133895741115</v>
      </c>
      <c r="H733" s="9">
        <v>10866</v>
      </c>
    </row>
    <row r="734" spans="1:8">
      <c r="A734">
        <f t="shared" si="33"/>
        <v>1.38267950975488E-6</v>
      </c>
      <c r="B734" s="9">
        <v>1.3826795097548801</v>
      </c>
      <c r="C734">
        <f t="shared" si="34"/>
        <v>216819910821667.47</v>
      </c>
      <c r="D734">
        <f t="shared" si="35"/>
        <v>216.81991082166746</v>
      </c>
      <c r="H734" s="9">
        <v>10866</v>
      </c>
    </row>
    <row r="735" spans="1:8">
      <c r="A735">
        <f t="shared" si="33"/>
        <v>1.3830073936968502E-6</v>
      </c>
      <c r="B735" s="9">
        <v>1.3830073936968501</v>
      </c>
      <c r="C735">
        <f t="shared" si="34"/>
        <v>216768507071129.47</v>
      </c>
      <c r="D735">
        <f t="shared" si="35"/>
        <v>216.76850707112948</v>
      </c>
      <c r="H735" s="9">
        <v>10866</v>
      </c>
    </row>
    <row r="736" spans="1:8">
      <c r="A736">
        <f t="shared" si="33"/>
        <v>1.3833352776388199E-6</v>
      </c>
      <c r="B736" s="9">
        <v>1.3833352776388199</v>
      </c>
      <c r="C736">
        <f t="shared" si="34"/>
        <v>216717127688457.53</v>
      </c>
      <c r="D736">
        <f t="shared" si="35"/>
        <v>216.71712768845754</v>
      </c>
      <c r="H736" s="9">
        <v>10866</v>
      </c>
    </row>
    <row r="737" spans="1:8">
      <c r="A737">
        <f t="shared" si="33"/>
        <v>1.38366316158079E-6</v>
      </c>
      <c r="B737" s="9">
        <v>1.3836631615807899</v>
      </c>
      <c r="C737">
        <f t="shared" si="34"/>
        <v>216665772656328.37</v>
      </c>
      <c r="D737">
        <f t="shared" si="35"/>
        <v>216.66577265632839</v>
      </c>
      <c r="H737" s="9">
        <v>10866</v>
      </c>
    </row>
    <row r="738" spans="1:8">
      <c r="A738">
        <f t="shared" si="33"/>
        <v>1.38399104552276E-6</v>
      </c>
      <c r="B738" s="9">
        <v>1.38399104552276</v>
      </c>
      <c r="C738">
        <f t="shared" si="34"/>
        <v>216614441957435.25</v>
      </c>
      <c r="D738">
        <f t="shared" si="35"/>
        <v>216.61444195743525</v>
      </c>
      <c r="H738" s="9">
        <v>10866</v>
      </c>
    </row>
    <row r="739" spans="1:8">
      <c r="A739">
        <f t="shared" si="33"/>
        <v>1.3843189294647301E-6</v>
      </c>
      <c r="B739" s="9">
        <v>1.38431892946473</v>
      </c>
      <c r="C739">
        <f t="shared" si="34"/>
        <v>216563135574487.69</v>
      </c>
      <c r="D739">
        <f t="shared" si="35"/>
        <v>216.56313557448769</v>
      </c>
      <c r="H739" s="9">
        <v>10866</v>
      </c>
    </row>
    <row r="740" spans="1:8">
      <c r="A740">
        <f t="shared" si="33"/>
        <v>1.3846468134067E-6</v>
      </c>
      <c r="B740" s="9">
        <v>1.3846468134067</v>
      </c>
      <c r="C740">
        <f t="shared" si="34"/>
        <v>216511853490211.75</v>
      </c>
      <c r="D740">
        <f t="shared" si="35"/>
        <v>216.51185349021176</v>
      </c>
      <c r="H740" s="9">
        <v>10866</v>
      </c>
    </row>
    <row r="741" spans="1:8">
      <c r="A741">
        <f t="shared" si="33"/>
        <v>1.38497469734867E-6</v>
      </c>
      <c r="B741" s="9">
        <v>1.3849746973486701</v>
      </c>
      <c r="C741">
        <f t="shared" si="34"/>
        <v>216460595687349.72</v>
      </c>
      <c r="D741">
        <f t="shared" si="35"/>
        <v>216.46059568734972</v>
      </c>
      <c r="H741" s="9">
        <v>10866</v>
      </c>
    </row>
    <row r="742" spans="1:8">
      <c r="A742">
        <f t="shared" si="33"/>
        <v>1.3853025812906501E-6</v>
      </c>
      <c r="B742" s="9">
        <v>1.3853025812906501</v>
      </c>
      <c r="C742">
        <f t="shared" si="34"/>
        <v>216409362148658.69</v>
      </c>
      <c r="D742">
        <f t="shared" si="35"/>
        <v>216.40936214865869</v>
      </c>
      <c r="H742" s="9">
        <v>10866</v>
      </c>
    </row>
    <row r="743" spans="1:8">
      <c r="A743">
        <f t="shared" si="33"/>
        <v>1.3856304652326198E-6</v>
      </c>
      <c r="B743" s="9">
        <v>1.3856304652326199</v>
      </c>
      <c r="C743">
        <f t="shared" si="34"/>
        <v>216358152856916.87</v>
      </c>
      <c r="D743">
        <f t="shared" si="35"/>
        <v>216.35815285691689</v>
      </c>
      <c r="H743" s="9">
        <v>10866</v>
      </c>
    </row>
    <row r="744" spans="1:8">
      <c r="A744">
        <f t="shared" si="33"/>
        <v>1.38595834917459E-6</v>
      </c>
      <c r="B744" s="9">
        <v>1.3859583491745899</v>
      </c>
      <c r="C744">
        <f t="shared" si="34"/>
        <v>216306967794913.84</v>
      </c>
      <c r="D744">
        <f t="shared" si="35"/>
        <v>216.30696779491385</v>
      </c>
      <c r="H744" s="9">
        <v>10866</v>
      </c>
    </row>
    <row r="745" spans="1:8">
      <c r="A745">
        <f t="shared" si="33"/>
        <v>1.3862862331165599E-6</v>
      </c>
      <c r="B745" s="9">
        <v>1.38628623311656</v>
      </c>
      <c r="C745">
        <f t="shared" si="34"/>
        <v>216255806945457.28</v>
      </c>
      <c r="D745">
        <f t="shared" si="35"/>
        <v>216.25580694545729</v>
      </c>
      <c r="H745" s="9">
        <v>10866</v>
      </c>
    </row>
    <row r="746" spans="1:8">
      <c r="A746">
        <f t="shared" si="33"/>
        <v>1.38661411705853E-6</v>
      </c>
      <c r="B746" s="9">
        <v>1.38661411705853</v>
      </c>
      <c r="C746">
        <f t="shared" si="34"/>
        <v>216204670291371</v>
      </c>
      <c r="D746">
        <f t="shared" si="35"/>
        <v>216.204670291371</v>
      </c>
      <c r="H746" s="9">
        <v>10866</v>
      </c>
    </row>
    <row r="747" spans="1:8">
      <c r="A747">
        <f t="shared" si="33"/>
        <v>1.3869420010005E-6</v>
      </c>
      <c r="B747" s="9">
        <v>1.3869420010005</v>
      </c>
      <c r="C747">
        <f t="shared" si="34"/>
        <v>216153557815495.06</v>
      </c>
      <c r="D747">
        <f t="shared" si="35"/>
        <v>216.15355781549505</v>
      </c>
      <c r="H747" s="9">
        <v>10866</v>
      </c>
    </row>
    <row r="748" spans="1:8">
      <c r="A748">
        <f t="shared" si="33"/>
        <v>1.3872698849424701E-6</v>
      </c>
      <c r="B748" s="9">
        <v>1.3872698849424701</v>
      </c>
      <c r="C748">
        <f t="shared" si="34"/>
        <v>216102469500685.78</v>
      </c>
      <c r="D748">
        <f t="shared" si="35"/>
        <v>216.10246950068577</v>
      </c>
      <c r="H748" s="9">
        <v>10866</v>
      </c>
    </row>
    <row r="749" spans="1:8">
      <c r="A749">
        <f t="shared" si="33"/>
        <v>1.3875977688844401E-6</v>
      </c>
      <c r="B749" s="9">
        <v>1.3875977688844401</v>
      </c>
      <c r="C749">
        <f t="shared" si="34"/>
        <v>216051405329815.62</v>
      </c>
      <c r="D749">
        <f t="shared" si="35"/>
        <v>216.05140532981562</v>
      </c>
      <c r="H749" s="9">
        <v>10866</v>
      </c>
    </row>
    <row r="750" spans="1:8">
      <c r="A750">
        <f t="shared" si="33"/>
        <v>1.38792565282641E-6</v>
      </c>
      <c r="B750" s="9">
        <v>1.3879256528264099</v>
      </c>
      <c r="C750">
        <f t="shared" si="34"/>
        <v>216000365285773.37</v>
      </c>
      <c r="D750">
        <f t="shared" si="35"/>
        <v>216.00036528577337</v>
      </c>
      <c r="H750" s="9">
        <v>10866</v>
      </c>
    </row>
    <row r="751" spans="1:8">
      <c r="A751">
        <f t="shared" si="33"/>
        <v>1.3882535367683799E-6</v>
      </c>
      <c r="B751" s="9">
        <v>1.3882535367683799</v>
      </c>
      <c r="C751">
        <f t="shared" si="34"/>
        <v>215949349351463.75</v>
      </c>
      <c r="D751">
        <f t="shared" si="35"/>
        <v>215.94934935146375</v>
      </c>
      <c r="H751" s="9">
        <v>10866</v>
      </c>
    </row>
    <row r="752" spans="1:8">
      <c r="A752">
        <f t="shared" si="33"/>
        <v>1.38858142071036E-6</v>
      </c>
      <c r="B752" s="9">
        <v>1.3885814207103599</v>
      </c>
      <c r="C752">
        <f t="shared" si="34"/>
        <v>215898357509806.28</v>
      </c>
      <c r="D752">
        <f t="shared" si="35"/>
        <v>215.89835750980629</v>
      </c>
      <c r="H752" s="9">
        <v>10866</v>
      </c>
    </row>
    <row r="753" spans="1:8">
      <c r="A753">
        <f t="shared" si="33"/>
        <v>1.38890930465233E-6</v>
      </c>
      <c r="B753" s="9">
        <v>1.38890930465233</v>
      </c>
      <c r="C753">
        <f t="shared" si="34"/>
        <v>215847389743741.16</v>
      </c>
      <c r="D753">
        <f t="shared" si="35"/>
        <v>215.84738974374116</v>
      </c>
      <c r="H753" s="9">
        <v>10866</v>
      </c>
    </row>
    <row r="754" spans="1:8">
      <c r="A754">
        <f t="shared" si="33"/>
        <v>1.3892371885943001E-6</v>
      </c>
      <c r="B754" s="9">
        <v>1.3892371885943</v>
      </c>
      <c r="C754">
        <f t="shared" si="34"/>
        <v>215796446036220.09</v>
      </c>
      <c r="D754">
        <f t="shared" si="35"/>
        <v>215.79644603622009</v>
      </c>
      <c r="H754" s="9">
        <v>10866</v>
      </c>
    </row>
    <row r="755" spans="1:8">
      <c r="A755">
        <f t="shared" si="33"/>
        <v>1.38956507253627E-6</v>
      </c>
      <c r="B755" s="9">
        <v>1.38956507253627</v>
      </c>
      <c r="C755">
        <f t="shared" si="34"/>
        <v>215745526370212.44</v>
      </c>
      <c r="D755">
        <f t="shared" si="35"/>
        <v>215.74552637021245</v>
      </c>
      <c r="H755" s="9">
        <v>10866</v>
      </c>
    </row>
    <row r="756" spans="1:8">
      <c r="A756">
        <f t="shared" si="33"/>
        <v>1.38989295647824E-6</v>
      </c>
      <c r="B756" s="9">
        <v>1.3898929564782401</v>
      </c>
      <c r="C756">
        <f t="shared" si="34"/>
        <v>215694630728703.53</v>
      </c>
      <c r="D756">
        <f t="shared" si="35"/>
        <v>215.69463072870354</v>
      </c>
      <c r="H756" s="9">
        <v>10866</v>
      </c>
    </row>
    <row r="757" spans="1:8">
      <c r="A757">
        <f t="shared" si="33"/>
        <v>1.3902208404202101E-6</v>
      </c>
      <c r="B757" s="9">
        <v>1.3902208404202101</v>
      </c>
      <c r="C757">
        <f t="shared" si="34"/>
        <v>215643759094694.84</v>
      </c>
      <c r="D757">
        <f t="shared" si="35"/>
        <v>215.64375909469484</v>
      </c>
      <c r="H757" s="9">
        <v>10866</v>
      </c>
    </row>
    <row r="758" spans="1:8">
      <c r="A758">
        <f t="shared" si="33"/>
        <v>1.3905487243621799E-6</v>
      </c>
      <c r="B758" s="9">
        <v>1.3905487243621799</v>
      </c>
      <c r="C758">
        <f t="shared" si="34"/>
        <v>215592911451203.91</v>
      </c>
      <c r="D758">
        <f t="shared" si="35"/>
        <v>215.59291145120392</v>
      </c>
      <c r="H758" s="9">
        <v>10866</v>
      </c>
    </row>
    <row r="759" spans="1:8">
      <c r="A759">
        <f t="shared" si="33"/>
        <v>1.39087660830415E-6</v>
      </c>
      <c r="B759" s="9">
        <v>1.3908766083041499</v>
      </c>
      <c r="C759">
        <f t="shared" si="34"/>
        <v>215542087781264.12</v>
      </c>
      <c r="D759">
        <f t="shared" si="35"/>
        <v>215.54208778126412</v>
      </c>
      <c r="H759" s="9">
        <v>10866</v>
      </c>
    </row>
    <row r="760" spans="1:8">
      <c r="A760">
        <f t="shared" si="33"/>
        <v>1.3912044922461199E-6</v>
      </c>
      <c r="B760" s="9">
        <v>1.39120449224612</v>
      </c>
      <c r="C760">
        <f t="shared" si="34"/>
        <v>215491288067925.03</v>
      </c>
      <c r="D760">
        <f t="shared" si="35"/>
        <v>215.49128806792504</v>
      </c>
      <c r="H760" s="9">
        <v>10866</v>
      </c>
    </row>
    <row r="761" spans="1:8">
      <c r="A761">
        <f t="shared" si="33"/>
        <v>1.3915323761880901E-6</v>
      </c>
      <c r="B761" s="9">
        <v>1.39153237618809</v>
      </c>
      <c r="C761">
        <f t="shared" si="34"/>
        <v>215440512294252.06</v>
      </c>
      <c r="D761">
        <f t="shared" si="35"/>
        <v>215.44051229425207</v>
      </c>
      <c r="H761" s="9">
        <v>10866</v>
      </c>
    </row>
    <row r="762" spans="1:8">
      <c r="A762">
        <f t="shared" si="33"/>
        <v>1.39186026013006E-6</v>
      </c>
      <c r="B762" s="9">
        <v>1.39186026013006</v>
      </c>
      <c r="C762">
        <f t="shared" si="34"/>
        <v>215389760443326.69</v>
      </c>
      <c r="D762">
        <f t="shared" si="35"/>
        <v>215.38976044332668</v>
      </c>
      <c r="H762" s="9">
        <v>10866</v>
      </c>
    </row>
    <row r="763" spans="1:8">
      <c r="A763">
        <f t="shared" si="33"/>
        <v>1.3921881440720401E-6</v>
      </c>
      <c r="B763" s="9">
        <v>1.3921881440720401</v>
      </c>
      <c r="C763">
        <f t="shared" si="34"/>
        <v>215339032498244.69</v>
      </c>
      <c r="D763">
        <f t="shared" si="35"/>
        <v>215.33903249824468</v>
      </c>
      <c r="H763" s="9">
        <v>10866</v>
      </c>
    </row>
    <row r="764" spans="1:8">
      <c r="A764">
        <f t="shared" si="33"/>
        <v>1.3925160280140101E-6</v>
      </c>
      <c r="B764" s="9">
        <v>1.3925160280140101</v>
      </c>
      <c r="C764">
        <f t="shared" si="34"/>
        <v>215288328442122.47</v>
      </c>
      <c r="D764">
        <f t="shared" si="35"/>
        <v>215.28832844212246</v>
      </c>
      <c r="H764" s="9">
        <v>10866</v>
      </c>
    </row>
    <row r="765" spans="1:8">
      <c r="A765">
        <f t="shared" si="33"/>
        <v>1.39284391195598E-6</v>
      </c>
      <c r="B765" s="9">
        <v>1.3928439119559799</v>
      </c>
      <c r="C765">
        <f t="shared" si="34"/>
        <v>215237648258087.66</v>
      </c>
      <c r="D765">
        <f t="shared" si="35"/>
        <v>215.23764825808766</v>
      </c>
      <c r="H765" s="9">
        <v>10866</v>
      </c>
    </row>
    <row r="766" spans="1:8">
      <c r="A766">
        <f t="shared" si="33"/>
        <v>1.3931717958979499E-6</v>
      </c>
      <c r="B766" s="9">
        <v>1.3931717958979499</v>
      </c>
      <c r="C766">
        <f t="shared" si="34"/>
        <v>215186991929285.25</v>
      </c>
      <c r="D766">
        <f t="shared" si="35"/>
        <v>215.18699192928526</v>
      </c>
      <c r="H766" s="9">
        <v>10866</v>
      </c>
    </row>
    <row r="767" spans="1:8">
      <c r="A767">
        <f t="shared" si="33"/>
        <v>1.3934996798399199E-6</v>
      </c>
      <c r="B767" s="9">
        <v>1.39349967983992</v>
      </c>
      <c r="C767">
        <f t="shared" si="34"/>
        <v>215136359438876.25</v>
      </c>
      <c r="D767">
        <f t="shared" si="35"/>
        <v>215.13635943887624</v>
      </c>
      <c r="H767" s="9">
        <v>10866</v>
      </c>
    </row>
    <row r="768" spans="1:8">
      <c r="A768">
        <f t="shared" si="33"/>
        <v>1.39382756378189E-6</v>
      </c>
      <c r="B768" s="9">
        <v>1.39382756378189</v>
      </c>
      <c r="C768">
        <f t="shared" si="34"/>
        <v>215085750770037.41</v>
      </c>
      <c r="D768">
        <f t="shared" si="35"/>
        <v>215.08575077003741</v>
      </c>
      <c r="H768" s="9">
        <v>10866</v>
      </c>
    </row>
    <row r="769" spans="1:8">
      <c r="A769">
        <f t="shared" si="33"/>
        <v>1.3941554477238599E-6</v>
      </c>
      <c r="B769" s="9">
        <v>1.39415544772386</v>
      </c>
      <c r="C769">
        <f t="shared" si="34"/>
        <v>215035165905961.31</v>
      </c>
      <c r="D769">
        <f t="shared" si="35"/>
        <v>215.03516590596132</v>
      </c>
      <c r="H769" s="9">
        <v>10866</v>
      </c>
    </row>
    <row r="770" spans="1:8">
      <c r="A770">
        <f t="shared" si="33"/>
        <v>1.3944833316658301E-6</v>
      </c>
      <c r="B770" s="9">
        <v>1.3944833316658301</v>
      </c>
      <c r="C770">
        <f t="shared" si="34"/>
        <v>214984604829856.37</v>
      </c>
      <c r="D770">
        <f t="shared" si="35"/>
        <v>214.98460482985638</v>
      </c>
      <c r="H770" s="9">
        <v>10866</v>
      </c>
    </row>
    <row r="771" spans="1:8">
      <c r="A771">
        <f t="shared" si="33"/>
        <v>1.3948112156078E-6</v>
      </c>
      <c r="B771" s="9">
        <v>1.3948112156078001</v>
      </c>
      <c r="C771">
        <f t="shared" si="34"/>
        <v>214934067524946.78</v>
      </c>
      <c r="D771">
        <f t="shared" si="35"/>
        <v>214.93406752494678</v>
      </c>
      <c r="H771" s="9">
        <v>10866</v>
      </c>
    </row>
    <row r="772" spans="1:8">
      <c r="A772">
        <f t="shared" si="33"/>
        <v>1.39513909954977E-6</v>
      </c>
      <c r="B772" s="9">
        <v>1.3951390995497699</v>
      </c>
      <c r="C772">
        <f t="shared" si="34"/>
        <v>214883553974472.53</v>
      </c>
      <c r="D772">
        <f t="shared" si="35"/>
        <v>214.88355397447253</v>
      </c>
      <c r="H772" s="9">
        <v>10866</v>
      </c>
    </row>
    <row r="773" spans="1:8">
      <c r="A773">
        <f t="shared" si="33"/>
        <v>1.3954669834917499E-6</v>
      </c>
      <c r="B773" s="9">
        <v>1.3954669834917499</v>
      </c>
      <c r="C773">
        <f t="shared" si="34"/>
        <v>214833064161687.78</v>
      </c>
      <c r="D773">
        <f t="shared" si="35"/>
        <v>214.83306416168779</v>
      </c>
      <c r="H773" s="9">
        <v>10866</v>
      </c>
    </row>
    <row r="774" spans="1:8">
      <c r="A774">
        <f t="shared" si="33"/>
        <v>1.39579486743372E-6</v>
      </c>
      <c r="B774" s="9">
        <v>1.3957948674337199</v>
      </c>
      <c r="C774">
        <f t="shared" si="34"/>
        <v>214782598069867.03</v>
      </c>
      <c r="D774">
        <f t="shared" si="35"/>
        <v>214.78259806986702</v>
      </c>
      <c r="H774" s="9">
        <v>10866</v>
      </c>
    </row>
    <row r="775" spans="1:8">
      <c r="A775">
        <f t="shared" ref="A775:A838" si="36">B775/1000000</f>
        <v>1.3961227513756899E-6</v>
      </c>
      <c r="B775" s="9">
        <v>1.39612275137569</v>
      </c>
      <c r="C775">
        <f t="shared" ref="C775:C838" si="37">wavelength_to_freq(B775)</f>
        <v>214732155682295.94</v>
      </c>
      <c r="D775">
        <f t="shared" ref="D775:D838" si="38">C775/1000000000000</f>
        <v>214.73215568229594</v>
      </c>
      <c r="H775" s="9">
        <v>10866</v>
      </c>
    </row>
    <row r="776" spans="1:8">
      <c r="A776">
        <f t="shared" si="36"/>
        <v>1.3964506353176601E-6</v>
      </c>
      <c r="B776" s="9">
        <v>1.39645063531766</v>
      </c>
      <c r="C776">
        <f t="shared" si="37"/>
        <v>214681736982277.34</v>
      </c>
      <c r="D776">
        <f t="shared" si="38"/>
        <v>214.68173698227736</v>
      </c>
      <c r="H776" s="9">
        <v>10866</v>
      </c>
    </row>
    <row r="777" spans="1:8">
      <c r="A777">
        <f t="shared" si="36"/>
        <v>1.39677851925963E-6</v>
      </c>
      <c r="B777" s="9">
        <v>1.39677851925963</v>
      </c>
      <c r="C777">
        <f t="shared" si="37"/>
        <v>214631341953129.84</v>
      </c>
      <c r="D777">
        <f t="shared" si="38"/>
        <v>214.63134195312983</v>
      </c>
      <c r="H777" s="9">
        <v>10866</v>
      </c>
    </row>
    <row r="778" spans="1:8">
      <c r="A778">
        <f t="shared" si="36"/>
        <v>1.3971064032016002E-6</v>
      </c>
      <c r="B778" s="9">
        <v>1.3971064032016001</v>
      </c>
      <c r="C778">
        <f t="shared" si="37"/>
        <v>214580970578187.56</v>
      </c>
      <c r="D778">
        <f t="shared" si="38"/>
        <v>214.58097057818756</v>
      </c>
      <c r="H778" s="9">
        <v>10866</v>
      </c>
    </row>
    <row r="779" spans="1:8">
      <c r="A779">
        <f t="shared" si="36"/>
        <v>1.3974342871435701E-6</v>
      </c>
      <c r="B779" s="9">
        <v>1.3974342871435701</v>
      </c>
      <c r="C779">
        <f t="shared" si="37"/>
        <v>214530622840800.41</v>
      </c>
      <c r="D779">
        <f t="shared" si="38"/>
        <v>214.53062284080042</v>
      </c>
      <c r="H779" s="9">
        <v>10866</v>
      </c>
    </row>
    <row r="780" spans="1:8">
      <c r="A780">
        <f t="shared" si="36"/>
        <v>1.3977621710855398E-6</v>
      </c>
      <c r="B780" s="9">
        <v>1.3977621710855399</v>
      </c>
      <c r="C780">
        <f t="shared" si="37"/>
        <v>214480298724333.81</v>
      </c>
      <c r="D780">
        <f t="shared" si="38"/>
        <v>214.48029872433381</v>
      </c>
      <c r="H780" s="9">
        <v>10866</v>
      </c>
    </row>
    <row r="781" spans="1:8">
      <c r="A781">
        <f t="shared" si="36"/>
        <v>1.39809005502751E-6</v>
      </c>
      <c r="B781" s="9">
        <v>1.3980900550275099</v>
      </c>
      <c r="C781">
        <f t="shared" si="37"/>
        <v>214429998212168.84</v>
      </c>
      <c r="D781">
        <f t="shared" si="38"/>
        <v>214.42999821216884</v>
      </c>
      <c r="H781" s="9">
        <v>10866</v>
      </c>
    </row>
    <row r="782" spans="1:8">
      <c r="A782">
        <f t="shared" si="36"/>
        <v>1.3984179389694799E-6</v>
      </c>
      <c r="B782" s="9">
        <v>1.39841793896948</v>
      </c>
      <c r="C782">
        <f t="shared" si="37"/>
        <v>214379721287702.16</v>
      </c>
      <c r="D782">
        <f t="shared" si="38"/>
        <v>214.37972128770215</v>
      </c>
      <c r="H782" s="9">
        <v>10866</v>
      </c>
    </row>
    <row r="783" spans="1:8">
      <c r="A783">
        <f t="shared" si="36"/>
        <v>1.39874582291146E-6</v>
      </c>
      <c r="B783" s="9">
        <v>1.39874582291146</v>
      </c>
      <c r="C783">
        <f t="shared" si="37"/>
        <v>214329467934344.44</v>
      </c>
      <c r="D783">
        <f t="shared" si="38"/>
        <v>214.32946793434445</v>
      </c>
      <c r="H783" s="9">
        <v>10866</v>
      </c>
    </row>
    <row r="784" spans="1:8">
      <c r="A784">
        <f t="shared" si="36"/>
        <v>1.3990737068534299E-6</v>
      </c>
      <c r="B784" s="9">
        <v>1.39907370685343</v>
      </c>
      <c r="C784">
        <f t="shared" si="37"/>
        <v>214279238135526.56</v>
      </c>
      <c r="D784">
        <f t="shared" si="38"/>
        <v>214.27923813552655</v>
      </c>
      <c r="H784" s="9">
        <v>10866</v>
      </c>
    </row>
    <row r="785" spans="1:8">
      <c r="A785">
        <f t="shared" si="36"/>
        <v>1.3994015907954001E-6</v>
      </c>
      <c r="B785" s="9">
        <v>1.3994015907954001</v>
      </c>
      <c r="C785">
        <f t="shared" si="37"/>
        <v>214229031874690.25</v>
      </c>
      <c r="D785">
        <f t="shared" si="38"/>
        <v>214.22903187469026</v>
      </c>
      <c r="H785" s="9">
        <v>10866</v>
      </c>
    </row>
    <row r="786" spans="1:8">
      <c r="A786">
        <f t="shared" si="36"/>
        <v>1.39972947473737E-6</v>
      </c>
      <c r="B786" s="9">
        <v>1.3997294747373701</v>
      </c>
      <c r="C786">
        <f t="shared" si="37"/>
        <v>214178849135294.34</v>
      </c>
      <c r="D786">
        <f t="shared" si="38"/>
        <v>214.17884913529434</v>
      </c>
      <c r="H786" s="9">
        <v>10866</v>
      </c>
    </row>
    <row r="787" spans="1:8">
      <c r="A787">
        <f t="shared" si="36"/>
        <v>1.40005735867934E-6</v>
      </c>
      <c r="B787" s="9">
        <v>1.4000573586793399</v>
      </c>
      <c r="C787">
        <f t="shared" si="37"/>
        <v>214128689900813.22</v>
      </c>
      <c r="D787">
        <f t="shared" si="38"/>
        <v>214.12868990081321</v>
      </c>
      <c r="H787" s="9">
        <v>10866</v>
      </c>
    </row>
    <row r="788" spans="1:8">
      <c r="A788">
        <f t="shared" si="36"/>
        <v>1.4003852426213099E-6</v>
      </c>
      <c r="B788" s="9">
        <v>1.4003852426213099</v>
      </c>
      <c r="C788">
        <f t="shared" si="37"/>
        <v>214078554154736.56</v>
      </c>
      <c r="D788">
        <f t="shared" si="38"/>
        <v>214.07855415473657</v>
      </c>
      <c r="H788" s="9">
        <v>10866</v>
      </c>
    </row>
    <row r="789" spans="1:8">
      <c r="A789">
        <f t="shared" si="36"/>
        <v>1.40071312656328E-6</v>
      </c>
      <c r="B789" s="9">
        <v>1.40071312656328</v>
      </c>
      <c r="C789">
        <f t="shared" si="37"/>
        <v>214028441880569.69</v>
      </c>
      <c r="D789">
        <f t="shared" si="38"/>
        <v>214.02844188056969</v>
      </c>
      <c r="H789" s="9">
        <v>10866</v>
      </c>
    </row>
    <row r="790" spans="1:8">
      <c r="A790">
        <f t="shared" si="36"/>
        <v>1.40104101050525E-6</v>
      </c>
      <c r="B790" s="9">
        <v>1.40104101050525</v>
      </c>
      <c r="C790">
        <f t="shared" si="37"/>
        <v>213978353061833.25</v>
      </c>
      <c r="D790">
        <f t="shared" si="38"/>
        <v>213.97835306183325</v>
      </c>
      <c r="H790" s="9">
        <v>10866</v>
      </c>
    </row>
    <row r="791" spans="1:8">
      <c r="A791">
        <f t="shared" si="36"/>
        <v>1.4013688944472199E-6</v>
      </c>
      <c r="B791" s="9">
        <v>1.40136889444722</v>
      </c>
      <c r="C791">
        <f t="shared" si="37"/>
        <v>213928287682063.37</v>
      </c>
      <c r="D791">
        <f t="shared" si="38"/>
        <v>213.92828768206337</v>
      </c>
      <c r="H791" s="9">
        <v>10866</v>
      </c>
    </row>
    <row r="792" spans="1:8">
      <c r="A792">
        <f t="shared" si="36"/>
        <v>1.4016967783891901E-6</v>
      </c>
      <c r="B792" s="9">
        <v>1.40169677838919</v>
      </c>
      <c r="C792">
        <f t="shared" si="37"/>
        <v>213878245724811.62</v>
      </c>
      <c r="D792">
        <f t="shared" si="38"/>
        <v>213.87824572481162</v>
      </c>
      <c r="H792" s="9">
        <v>10866</v>
      </c>
    </row>
    <row r="793" spans="1:8">
      <c r="A793">
        <f t="shared" si="36"/>
        <v>1.4020246623311702E-6</v>
      </c>
      <c r="B793" s="9">
        <v>1.4020246623311701</v>
      </c>
      <c r="C793">
        <f t="shared" si="37"/>
        <v>213828227173643.31</v>
      </c>
      <c r="D793">
        <f t="shared" si="38"/>
        <v>213.82822717364331</v>
      </c>
      <c r="H793" s="9">
        <v>10866</v>
      </c>
    </row>
    <row r="794" spans="1:8">
      <c r="A794">
        <f t="shared" si="36"/>
        <v>1.4023525462731401E-6</v>
      </c>
      <c r="B794" s="9">
        <v>1.4023525462731401</v>
      </c>
      <c r="C794">
        <f t="shared" si="37"/>
        <v>213778232012143.81</v>
      </c>
      <c r="D794">
        <f t="shared" si="38"/>
        <v>213.7782320121438</v>
      </c>
      <c r="H794" s="9">
        <v>10866</v>
      </c>
    </row>
    <row r="795" spans="1:8">
      <c r="A795">
        <f t="shared" si="36"/>
        <v>1.4026804302151098E-6</v>
      </c>
      <c r="B795" s="9">
        <v>1.4026804302151099</v>
      </c>
      <c r="C795">
        <f t="shared" si="37"/>
        <v>213728260223909.25</v>
      </c>
      <c r="D795">
        <f t="shared" si="38"/>
        <v>213.72826022390925</v>
      </c>
      <c r="H795" s="9">
        <v>10866</v>
      </c>
    </row>
    <row r="796" spans="1:8">
      <c r="A796">
        <f t="shared" si="36"/>
        <v>1.40300831415708E-6</v>
      </c>
      <c r="B796" s="9">
        <v>1.4030083141570799</v>
      </c>
      <c r="C796">
        <f t="shared" si="37"/>
        <v>213678311792552.53</v>
      </c>
      <c r="D796">
        <f t="shared" si="38"/>
        <v>213.67831179255253</v>
      </c>
      <c r="H796" s="9">
        <v>10866</v>
      </c>
    </row>
    <row r="797" spans="1:8">
      <c r="A797">
        <f t="shared" si="36"/>
        <v>1.4033361980990499E-6</v>
      </c>
      <c r="B797" s="9">
        <v>1.40333619809905</v>
      </c>
      <c r="C797">
        <f t="shared" si="37"/>
        <v>213628386701701.91</v>
      </c>
      <c r="D797">
        <f t="shared" si="38"/>
        <v>213.62838670170191</v>
      </c>
      <c r="H797" s="9">
        <v>10866</v>
      </c>
    </row>
    <row r="798" spans="1:8">
      <c r="A798">
        <f t="shared" si="36"/>
        <v>1.4036640820410201E-6</v>
      </c>
      <c r="B798" s="9">
        <v>1.40366408204102</v>
      </c>
      <c r="C798">
        <f t="shared" si="37"/>
        <v>213578484935001</v>
      </c>
      <c r="D798">
        <f t="shared" si="38"/>
        <v>213.578484935001</v>
      </c>
      <c r="H798" s="9">
        <v>10866</v>
      </c>
    </row>
    <row r="799" spans="1:8">
      <c r="A799">
        <f t="shared" si="36"/>
        <v>1.40399196598299E-6</v>
      </c>
      <c r="B799" s="9">
        <v>1.40399196598299</v>
      </c>
      <c r="C799">
        <f t="shared" si="37"/>
        <v>213528606476108.66</v>
      </c>
      <c r="D799">
        <f t="shared" si="38"/>
        <v>213.52860647610865</v>
      </c>
      <c r="H799" s="9">
        <v>10866</v>
      </c>
    </row>
    <row r="800" spans="1:8">
      <c r="A800">
        <f t="shared" si="36"/>
        <v>1.4043198499249601E-6</v>
      </c>
      <c r="B800" s="9">
        <v>1.4043198499249601</v>
      </c>
      <c r="C800">
        <f t="shared" si="37"/>
        <v>213478751308698.97</v>
      </c>
      <c r="D800">
        <f t="shared" si="38"/>
        <v>213.47875130869897</v>
      </c>
      <c r="H800" s="9">
        <v>10866</v>
      </c>
    </row>
    <row r="801" spans="1:8">
      <c r="A801">
        <f t="shared" si="36"/>
        <v>1.4046477338669301E-6</v>
      </c>
      <c r="B801" s="9">
        <v>1.4046477338669301</v>
      </c>
      <c r="C801">
        <f t="shared" si="37"/>
        <v>213428919416461.31</v>
      </c>
      <c r="D801">
        <f t="shared" si="38"/>
        <v>213.42891941646133</v>
      </c>
      <c r="H801" s="9">
        <v>10866</v>
      </c>
    </row>
    <row r="802" spans="1:8">
      <c r="A802">
        <f t="shared" si="36"/>
        <v>1.4049756178088998E-6</v>
      </c>
      <c r="B802" s="9">
        <v>1.4049756178088999</v>
      </c>
      <c r="C802">
        <f t="shared" si="37"/>
        <v>213379110783100.28</v>
      </c>
      <c r="D802">
        <f t="shared" si="38"/>
        <v>213.37911078310029</v>
      </c>
      <c r="H802" s="9">
        <v>10866</v>
      </c>
    </row>
    <row r="803" spans="1:8">
      <c r="A803">
        <f t="shared" si="36"/>
        <v>1.4053035017508799E-6</v>
      </c>
      <c r="B803" s="9">
        <v>1.4053035017508799</v>
      </c>
      <c r="C803">
        <f t="shared" si="37"/>
        <v>213329325392334.09</v>
      </c>
      <c r="D803">
        <f t="shared" si="38"/>
        <v>213.32932539233408</v>
      </c>
      <c r="H803" s="9">
        <v>10866</v>
      </c>
    </row>
    <row r="804" spans="1:8">
      <c r="A804">
        <f t="shared" si="36"/>
        <v>1.40563138569285E-6</v>
      </c>
      <c r="B804" s="9">
        <v>1.40563138569285</v>
      </c>
      <c r="C804">
        <f t="shared" si="37"/>
        <v>213279563227900.78</v>
      </c>
      <c r="D804">
        <f t="shared" si="38"/>
        <v>213.27956322790078</v>
      </c>
      <c r="H804" s="9">
        <v>10866</v>
      </c>
    </row>
    <row r="805" spans="1:8">
      <c r="A805">
        <f t="shared" si="36"/>
        <v>1.40595926963482E-6</v>
      </c>
      <c r="B805" s="9">
        <v>1.40595926963482</v>
      </c>
      <c r="C805">
        <f t="shared" si="37"/>
        <v>213229824273549.03</v>
      </c>
      <c r="D805">
        <f t="shared" si="38"/>
        <v>213.22982427354904</v>
      </c>
      <c r="H805" s="9">
        <v>10866</v>
      </c>
    </row>
    <row r="806" spans="1:8">
      <c r="A806">
        <f t="shared" si="36"/>
        <v>1.4062871535767899E-6</v>
      </c>
      <c r="B806" s="9">
        <v>1.40628715357679</v>
      </c>
      <c r="C806">
        <f t="shared" si="37"/>
        <v>213180108513044.09</v>
      </c>
      <c r="D806">
        <f t="shared" si="38"/>
        <v>213.1801085130441</v>
      </c>
      <c r="H806" s="9">
        <v>10866</v>
      </c>
    </row>
    <row r="807" spans="1:8">
      <c r="A807">
        <f t="shared" si="36"/>
        <v>1.4066150375187601E-6</v>
      </c>
      <c r="B807" s="9">
        <v>1.40661503751876</v>
      </c>
      <c r="C807">
        <f t="shared" si="37"/>
        <v>213130415930166.44</v>
      </c>
      <c r="D807">
        <f t="shared" si="38"/>
        <v>213.13041593016644</v>
      </c>
      <c r="H807" s="9">
        <v>10866</v>
      </c>
    </row>
    <row r="808" spans="1:8">
      <c r="A808">
        <f t="shared" si="36"/>
        <v>1.40694292146073E-6</v>
      </c>
      <c r="B808" s="9">
        <v>1.4069429214607301</v>
      </c>
      <c r="C808">
        <f t="shared" si="37"/>
        <v>213080746508711.62</v>
      </c>
      <c r="D808">
        <f t="shared" si="38"/>
        <v>213.08074650871163</v>
      </c>
      <c r="H808" s="9">
        <v>10866</v>
      </c>
    </row>
    <row r="809" spans="1:8">
      <c r="A809">
        <f t="shared" si="36"/>
        <v>1.4072708054027001E-6</v>
      </c>
      <c r="B809" s="9">
        <v>1.4072708054027001</v>
      </c>
      <c r="C809">
        <f t="shared" si="37"/>
        <v>213031100232490.34</v>
      </c>
      <c r="D809">
        <f t="shared" si="38"/>
        <v>213.03110023249033</v>
      </c>
      <c r="H809" s="9">
        <v>10866</v>
      </c>
    </row>
    <row r="810" spans="1:8">
      <c r="A810">
        <f t="shared" si="36"/>
        <v>1.4075986893446699E-6</v>
      </c>
      <c r="B810" s="9">
        <v>1.4075986893446699</v>
      </c>
      <c r="C810">
        <f t="shared" si="37"/>
        <v>212981477085328.31</v>
      </c>
      <c r="D810">
        <f t="shared" si="38"/>
        <v>212.98147708532832</v>
      </c>
      <c r="H810" s="9">
        <v>10866</v>
      </c>
    </row>
    <row r="811" spans="1:8">
      <c r="A811">
        <f t="shared" si="36"/>
        <v>1.40792657328664E-6</v>
      </c>
      <c r="B811" s="9">
        <v>1.4079265732866399</v>
      </c>
      <c r="C811">
        <f t="shared" si="37"/>
        <v>212931877051066.37</v>
      </c>
      <c r="D811">
        <f t="shared" si="38"/>
        <v>212.93187705106638</v>
      </c>
      <c r="H811" s="9">
        <v>10866</v>
      </c>
    </row>
    <row r="812" spans="1:8">
      <c r="A812">
        <f t="shared" si="36"/>
        <v>1.40825445722861E-6</v>
      </c>
      <c r="B812" s="9">
        <v>1.40825445722861</v>
      </c>
      <c r="C812">
        <f t="shared" si="37"/>
        <v>212882300113560.34</v>
      </c>
      <c r="D812">
        <f t="shared" si="38"/>
        <v>212.88230011356035</v>
      </c>
      <c r="H812" s="9">
        <v>10866</v>
      </c>
    </row>
    <row r="813" spans="1:8">
      <c r="A813">
        <f t="shared" si="36"/>
        <v>1.4085823411705901E-6</v>
      </c>
      <c r="B813" s="9">
        <v>1.40858234117059</v>
      </c>
      <c r="C813">
        <f t="shared" si="37"/>
        <v>212832746256679.69</v>
      </c>
      <c r="D813">
        <f t="shared" si="38"/>
        <v>212.83274625667968</v>
      </c>
      <c r="H813" s="9">
        <v>10866</v>
      </c>
    </row>
    <row r="814" spans="1:8">
      <c r="A814">
        <f t="shared" si="36"/>
        <v>1.40891022511256E-6</v>
      </c>
      <c r="B814" s="9">
        <v>1.40891022511256</v>
      </c>
      <c r="C814">
        <f t="shared" si="37"/>
        <v>212783215464313.28</v>
      </c>
      <c r="D814">
        <f t="shared" si="38"/>
        <v>212.78321546431329</v>
      </c>
      <c r="H814" s="9">
        <v>10866</v>
      </c>
    </row>
    <row r="815" spans="1:8">
      <c r="A815">
        <f t="shared" si="36"/>
        <v>1.4092381090545301E-6</v>
      </c>
      <c r="B815" s="9">
        <v>1.4092381090545301</v>
      </c>
      <c r="C815">
        <f t="shared" si="37"/>
        <v>212733707720360.56</v>
      </c>
      <c r="D815">
        <f t="shared" si="38"/>
        <v>212.73370772036057</v>
      </c>
      <c r="H815" s="9">
        <v>10866</v>
      </c>
    </row>
    <row r="816" spans="1:8">
      <c r="A816">
        <f t="shared" si="36"/>
        <v>1.4095659929965001E-6</v>
      </c>
      <c r="B816" s="9">
        <v>1.4095659929965001</v>
      </c>
      <c r="C816">
        <f t="shared" si="37"/>
        <v>212684223008737.41</v>
      </c>
      <c r="D816">
        <f t="shared" si="38"/>
        <v>212.6842230087374</v>
      </c>
      <c r="H816" s="9">
        <v>10866</v>
      </c>
    </row>
    <row r="817" spans="1:8">
      <c r="A817">
        <f t="shared" si="36"/>
        <v>1.40989387693847E-6</v>
      </c>
      <c r="B817" s="9">
        <v>1.4098938769384699</v>
      </c>
      <c r="C817">
        <f t="shared" si="37"/>
        <v>212634761313374.69</v>
      </c>
      <c r="D817">
        <f t="shared" si="38"/>
        <v>212.6347613133747</v>
      </c>
      <c r="H817" s="9">
        <v>10866</v>
      </c>
    </row>
    <row r="818" spans="1:8">
      <c r="A818">
        <f t="shared" si="36"/>
        <v>1.4102217608804399E-6</v>
      </c>
      <c r="B818" s="9">
        <v>1.4102217608804399</v>
      </c>
      <c r="C818">
        <f t="shared" si="37"/>
        <v>212585322618218.12</v>
      </c>
      <c r="D818">
        <f t="shared" si="38"/>
        <v>212.58532261821813</v>
      </c>
      <c r="H818" s="9">
        <v>10866</v>
      </c>
    </row>
    <row r="819" spans="1:8">
      <c r="A819">
        <f t="shared" si="36"/>
        <v>1.4105496448224099E-6</v>
      </c>
      <c r="B819" s="9">
        <v>1.41054964482241</v>
      </c>
      <c r="C819">
        <f t="shared" si="37"/>
        <v>212535906907228.53</v>
      </c>
      <c r="D819">
        <f t="shared" si="38"/>
        <v>212.53590690722854</v>
      </c>
      <c r="H819" s="9">
        <v>10866</v>
      </c>
    </row>
    <row r="820" spans="1:8">
      <c r="A820">
        <f t="shared" si="36"/>
        <v>1.41087752876438E-6</v>
      </c>
      <c r="B820" s="9">
        <v>1.41087752876438</v>
      </c>
      <c r="C820">
        <f t="shared" si="37"/>
        <v>212486514164381.5</v>
      </c>
      <c r="D820">
        <f t="shared" si="38"/>
        <v>212.4865141643815</v>
      </c>
      <c r="H820" s="9">
        <v>10866</v>
      </c>
    </row>
    <row r="821" spans="1:8">
      <c r="A821">
        <f t="shared" si="36"/>
        <v>1.41120541270635E-6</v>
      </c>
      <c r="B821" s="9">
        <v>1.41120541270635</v>
      </c>
      <c r="C821">
        <f t="shared" si="37"/>
        <v>212437144373667.56</v>
      </c>
      <c r="D821">
        <f t="shared" si="38"/>
        <v>212.43714437366756</v>
      </c>
      <c r="H821" s="9">
        <v>10866</v>
      </c>
    </row>
    <row r="822" spans="1:8">
      <c r="A822">
        <f t="shared" si="36"/>
        <v>1.4115332966483201E-6</v>
      </c>
      <c r="B822" s="9">
        <v>1.4115332966483201</v>
      </c>
      <c r="C822">
        <f t="shared" si="37"/>
        <v>212387797519092.12</v>
      </c>
      <c r="D822">
        <f t="shared" si="38"/>
        <v>212.38779751909212</v>
      </c>
      <c r="H822" s="9">
        <v>10866</v>
      </c>
    </row>
    <row r="823" spans="1:8">
      <c r="A823">
        <f t="shared" si="36"/>
        <v>1.4118611805903E-6</v>
      </c>
      <c r="B823" s="9">
        <v>1.4118611805903001</v>
      </c>
      <c r="C823">
        <f t="shared" si="37"/>
        <v>212338473584673.94</v>
      </c>
      <c r="D823">
        <f t="shared" si="38"/>
        <v>212.33847358467395</v>
      </c>
      <c r="H823" s="9">
        <v>10866</v>
      </c>
    </row>
    <row r="824" spans="1:8">
      <c r="A824">
        <f t="shared" si="36"/>
        <v>1.4121890645322701E-6</v>
      </c>
      <c r="B824" s="9">
        <v>1.4121890645322701</v>
      </c>
      <c r="C824">
        <f t="shared" si="37"/>
        <v>212289172554451.12</v>
      </c>
      <c r="D824">
        <f t="shared" si="38"/>
        <v>212.28917255445111</v>
      </c>
      <c r="H824" s="9">
        <v>10866</v>
      </c>
    </row>
    <row r="825" spans="1:8">
      <c r="A825">
        <f t="shared" si="36"/>
        <v>1.4125169484742399E-6</v>
      </c>
      <c r="B825" s="9">
        <v>1.4125169484742399</v>
      </c>
      <c r="C825">
        <f t="shared" si="37"/>
        <v>212239894412472.12</v>
      </c>
      <c r="D825">
        <f t="shared" si="38"/>
        <v>212.23989441247213</v>
      </c>
      <c r="H825" s="9">
        <v>10866</v>
      </c>
    </row>
    <row r="826" spans="1:8">
      <c r="A826">
        <f t="shared" si="36"/>
        <v>1.41284483241621E-6</v>
      </c>
      <c r="B826" s="9">
        <v>1.41284483241621</v>
      </c>
      <c r="C826">
        <f t="shared" si="37"/>
        <v>212190639142801.59</v>
      </c>
      <c r="D826">
        <f t="shared" si="38"/>
        <v>212.19063914280159</v>
      </c>
      <c r="H826" s="9">
        <v>10866</v>
      </c>
    </row>
    <row r="827" spans="1:8">
      <c r="A827">
        <f t="shared" si="36"/>
        <v>1.41317271635818E-6</v>
      </c>
      <c r="B827" s="9">
        <v>1.41317271635818</v>
      </c>
      <c r="C827">
        <f t="shared" si="37"/>
        <v>212141406729519.09</v>
      </c>
      <c r="D827">
        <f t="shared" si="38"/>
        <v>212.1414067295191</v>
      </c>
      <c r="H827" s="9">
        <v>10866</v>
      </c>
    </row>
    <row r="828" spans="1:8">
      <c r="A828">
        <f t="shared" si="36"/>
        <v>1.4135006003001501E-6</v>
      </c>
      <c r="B828" s="9">
        <v>1.41350060030015</v>
      </c>
      <c r="C828">
        <f t="shared" si="37"/>
        <v>212092197156718.94</v>
      </c>
      <c r="D828">
        <f t="shared" si="38"/>
        <v>212.09219715671892</v>
      </c>
      <c r="H828" s="9">
        <v>10866</v>
      </c>
    </row>
    <row r="829" spans="1:8">
      <c r="A829">
        <f t="shared" si="36"/>
        <v>1.41382848424212E-6</v>
      </c>
      <c r="B829" s="9">
        <v>1.41382848424212</v>
      </c>
      <c r="C829">
        <f t="shared" si="37"/>
        <v>212043010408510.16</v>
      </c>
      <c r="D829">
        <f t="shared" si="38"/>
        <v>212.04301040851016</v>
      </c>
      <c r="H829" s="9">
        <v>10866</v>
      </c>
    </row>
    <row r="830" spans="1:8">
      <c r="A830">
        <f t="shared" si="36"/>
        <v>1.41415636818409E-6</v>
      </c>
      <c r="B830" s="9">
        <v>1.4141563681840901</v>
      </c>
      <c r="C830">
        <f t="shared" si="37"/>
        <v>211993846469016.53</v>
      </c>
      <c r="D830">
        <f t="shared" si="38"/>
        <v>211.99384646901652</v>
      </c>
      <c r="H830" s="9">
        <v>10866</v>
      </c>
    </row>
    <row r="831" spans="1:8">
      <c r="A831">
        <f t="shared" si="36"/>
        <v>1.4144842521260601E-6</v>
      </c>
      <c r="B831" s="9">
        <v>1.4144842521260601</v>
      </c>
      <c r="C831">
        <f t="shared" si="37"/>
        <v>211944705322376.56</v>
      </c>
      <c r="D831">
        <f t="shared" si="38"/>
        <v>211.94470532237656</v>
      </c>
      <c r="H831" s="9">
        <v>10866</v>
      </c>
    </row>
    <row r="832" spans="1:8">
      <c r="A832">
        <f t="shared" si="36"/>
        <v>1.4148121360680298E-6</v>
      </c>
      <c r="B832" s="9">
        <v>1.4148121360680299</v>
      </c>
      <c r="C832">
        <f t="shared" si="37"/>
        <v>211895586952743.5</v>
      </c>
      <c r="D832">
        <f t="shared" si="38"/>
        <v>211.89558695274351</v>
      </c>
      <c r="H832" s="9">
        <v>10866</v>
      </c>
    </row>
    <row r="833" spans="1:8">
      <c r="A833">
        <f t="shared" si="36"/>
        <v>1.4151400200100099E-6</v>
      </c>
      <c r="B833" s="9">
        <v>1.4151400200100099</v>
      </c>
      <c r="C833">
        <f t="shared" si="37"/>
        <v>211846491344283.69</v>
      </c>
      <c r="D833">
        <f t="shared" si="38"/>
        <v>211.84649134428369</v>
      </c>
      <c r="H833" s="9">
        <v>10866</v>
      </c>
    </row>
    <row r="834" spans="1:8">
      <c r="A834">
        <f t="shared" si="36"/>
        <v>1.4154679039519799E-6</v>
      </c>
      <c r="B834" s="9">
        <v>1.41546790395198</v>
      </c>
      <c r="C834">
        <f t="shared" si="37"/>
        <v>211797418481182.69</v>
      </c>
      <c r="D834">
        <f t="shared" si="38"/>
        <v>211.79741848118269</v>
      </c>
      <c r="H834" s="9">
        <v>10866</v>
      </c>
    </row>
    <row r="835" spans="1:8">
      <c r="A835">
        <f t="shared" si="36"/>
        <v>1.41579578789395E-6</v>
      </c>
      <c r="B835" s="9">
        <v>1.41579578789395</v>
      </c>
      <c r="C835">
        <f t="shared" si="37"/>
        <v>211748368347636.25</v>
      </c>
      <c r="D835">
        <f t="shared" si="38"/>
        <v>211.74836834763624</v>
      </c>
      <c r="H835" s="9">
        <v>10866</v>
      </c>
    </row>
    <row r="836" spans="1:8">
      <c r="A836">
        <f t="shared" si="36"/>
        <v>1.41612367183592E-6</v>
      </c>
      <c r="B836" s="9">
        <v>1.41612367183592</v>
      </c>
      <c r="C836">
        <f t="shared" si="37"/>
        <v>211699340927856.22</v>
      </c>
      <c r="D836">
        <f t="shared" si="38"/>
        <v>211.69934092785621</v>
      </c>
      <c r="H836" s="9">
        <v>10866</v>
      </c>
    </row>
    <row r="837" spans="1:8">
      <c r="A837">
        <f t="shared" si="36"/>
        <v>1.4164515557778901E-6</v>
      </c>
      <c r="B837" s="9">
        <v>1.4164515557778901</v>
      </c>
      <c r="C837">
        <f t="shared" si="37"/>
        <v>211650336206069.06</v>
      </c>
      <c r="D837">
        <f t="shared" si="38"/>
        <v>211.65033620606906</v>
      </c>
      <c r="H837" s="9">
        <v>10866</v>
      </c>
    </row>
    <row r="838" spans="1:8">
      <c r="A838">
        <f t="shared" si="36"/>
        <v>1.41677943971986E-6</v>
      </c>
      <c r="B838" s="9">
        <v>1.4167794397198601</v>
      </c>
      <c r="C838">
        <f t="shared" si="37"/>
        <v>211601354166515.84</v>
      </c>
      <c r="D838">
        <f t="shared" si="38"/>
        <v>211.60135416651585</v>
      </c>
      <c r="H838" s="9">
        <v>10866</v>
      </c>
    </row>
    <row r="839" spans="1:8">
      <c r="A839">
        <f t="shared" ref="A839:A902" si="39">B839/1000000</f>
        <v>1.41710732366183E-6</v>
      </c>
      <c r="B839" s="9">
        <v>1.4171073236618299</v>
      </c>
      <c r="C839">
        <f t="shared" ref="C839:C902" si="40">wavelength_to_freq(B839)</f>
        <v>211552394793452.28</v>
      </c>
      <c r="D839">
        <f t="shared" ref="D839:D902" si="41">C839/1000000000000</f>
        <v>211.55239479345229</v>
      </c>
      <c r="H839" s="9">
        <v>10866</v>
      </c>
    </row>
    <row r="840" spans="1:8">
      <c r="A840">
        <f t="shared" si="39"/>
        <v>1.4174352076037999E-6</v>
      </c>
      <c r="B840" s="9">
        <v>1.4174352076037999</v>
      </c>
      <c r="C840">
        <f t="shared" si="40"/>
        <v>211503458071148.53</v>
      </c>
      <c r="D840">
        <f t="shared" si="41"/>
        <v>211.50345807114854</v>
      </c>
      <c r="H840" s="9">
        <v>10866</v>
      </c>
    </row>
    <row r="841" spans="1:8">
      <c r="A841">
        <f t="shared" si="39"/>
        <v>1.4177630915457701E-6</v>
      </c>
      <c r="B841" s="9">
        <v>1.41776309154577</v>
      </c>
      <c r="C841">
        <f t="shared" si="40"/>
        <v>211454543983889.37</v>
      </c>
      <c r="D841">
        <f t="shared" si="41"/>
        <v>211.45454398388938</v>
      </c>
      <c r="H841" s="9">
        <v>10866</v>
      </c>
    </row>
    <row r="842" spans="1:8">
      <c r="A842">
        <f t="shared" si="39"/>
        <v>1.41809097548774E-6</v>
      </c>
      <c r="B842" s="9">
        <v>1.41809097548774</v>
      </c>
      <c r="C842">
        <f t="shared" si="40"/>
        <v>211405652515974.16</v>
      </c>
      <c r="D842">
        <f t="shared" si="41"/>
        <v>211.40565251597417</v>
      </c>
      <c r="H842" s="9">
        <v>10866</v>
      </c>
    </row>
    <row r="843" spans="1:8">
      <c r="A843">
        <f t="shared" si="39"/>
        <v>1.4184188594297099E-6</v>
      </c>
      <c r="B843" s="9">
        <v>1.41841885942971</v>
      </c>
      <c r="C843">
        <f t="shared" si="40"/>
        <v>211356783651716.72</v>
      </c>
      <c r="D843">
        <f t="shared" si="41"/>
        <v>211.35678365171671</v>
      </c>
      <c r="H843" s="9">
        <v>10866</v>
      </c>
    </row>
    <row r="844" spans="1:8">
      <c r="A844">
        <f t="shared" si="39"/>
        <v>1.41874674337169E-6</v>
      </c>
      <c r="B844" s="9">
        <v>1.41874674337169</v>
      </c>
      <c r="C844">
        <f t="shared" si="40"/>
        <v>211307937375443.84</v>
      </c>
      <c r="D844">
        <f t="shared" si="41"/>
        <v>211.30793737544386</v>
      </c>
      <c r="H844" s="9">
        <v>10866</v>
      </c>
    </row>
    <row r="845" spans="1:8">
      <c r="A845">
        <f t="shared" si="39"/>
        <v>1.41907462731366E-6</v>
      </c>
      <c r="B845" s="9">
        <v>1.4190746273136601</v>
      </c>
      <c r="C845">
        <f t="shared" si="40"/>
        <v>211259113671501.41</v>
      </c>
      <c r="D845">
        <f t="shared" si="41"/>
        <v>211.25911367150141</v>
      </c>
      <c r="H845" s="9">
        <v>10866</v>
      </c>
    </row>
    <row r="846" spans="1:8">
      <c r="A846">
        <f t="shared" si="39"/>
        <v>1.4194025112556301E-6</v>
      </c>
      <c r="B846" s="9">
        <v>1.4194025112556301</v>
      </c>
      <c r="C846">
        <f t="shared" si="40"/>
        <v>211210312524245.12</v>
      </c>
      <c r="D846">
        <f t="shared" si="41"/>
        <v>211.21031252424513</v>
      </c>
      <c r="H846" s="9">
        <v>10866</v>
      </c>
    </row>
    <row r="847" spans="1:8">
      <c r="A847">
        <f t="shared" si="39"/>
        <v>1.4197303951975998E-6</v>
      </c>
      <c r="B847" s="9">
        <v>1.4197303951975999</v>
      </c>
      <c r="C847">
        <f t="shared" si="40"/>
        <v>211161533918046.81</v>
      </c>
      <c r="D847">
        <f t="shared" si="41"/>
        <v>211.16153391804681</v>
      </c>
      <c r="H847" s="9">
        <v>10866</v>
      </c>
    </row>
    <row r="848" spans="1:8">
      <c r="A848">
        <f t="shared" si="39"/>
        <v>1.42005827913957E-6</v>
      </c>
      <c r="B848" s="9">
        <v>1.4200582791395699</v>
      </c>
      <c r="C848">
        <f t="shared" si="40"/>
        <v>211112777837292.56</v>
      </c>
      <c r="D848">
        <f t="shared" si="41"/>
        <v>211.11277783729255</v>
      </c>
      <c r="H848" s="9">
        <v>10866</v>
      </c>
    </row>
    <row r="849" spans="1:8">
      <c r="A849">
        <f t="shared" si="39"/>
        <v>1.4203861630815399E-6</v>
      </c>
      <c r="B849" s="9">
        <v>1.42038616308154</v>
      </c>
      <c r="C849">
        <f t="shared" si="40"/>
        <v>211064044266382.97</v>
      </c>
      <c r="D849">
        <f t="shared" si="41"/>
        <v>211.06404426638298</v>
      </c>
      <c r="H849" s="9">
        <v>10866</v>
      </c>
    </row>
    <row r="850" spans="1:8">
      <c r="A850">
        <f t="shared" si="39"/>
        <v>1.4207140470235101E-6</v>
      </c>
      <c r="B850" s="9">
        <v>1.42071404702351</v>
      </c>
      <c r="C850">
        <f t="shared" si="40"/>
        <v>211015333189733.03</v>
      </c>
      <c r="D850">
        <f t="shared" si="41"/>
        <v>211.01533318973304</v>
      </c>
      <c r="H850" s="9">
        <v>10866</v>
      </c>
    </row>
    <row r="851" spans="1:8">
      <c r="A851">
        <f t="shared" si="39"/>
        <v>1.42104193096548E-6</v>
      </c>
      <c r="B851" s="9">
        <v>1.42104193096548</v>
      </c>
      <c r="C851">
        <f t="shared" si="40"/>
        <v>210966644591772.12</v>
      </c>
      <c r="D851">
        <f t="shared" si="41"/>
        <v>210.96664459177214</v>
      </c>
      <c r="H851" s="9">
        <v>10866</v>
      </c>
    </row>
    <row r="852" spans="1:8">
      <c r="A852">
        <f t="shared" si="39"/>
        <v>1.4213698149074502E-6</v>
      </c>
      <c r="B852" s="9">
        <v>1.4213698149074501</v>
      </c>
      <c r="C852">
        <f t="shared" si="40"/>
        <v>210917978456943.97</v>
      </c>
      <c r="D852">
        <f t="shared" si="41"/>
        <v>210.91797845694396</v>
      </c>
      <c r="H852" s="9">
        <v>10866</v>
      </c>
    </row>
    <row r="853" spans="1:8">
      <c r="A853">
        <f t="shared" si="39"/>
        <v>1.4216976988494201E-6</v>
      </c>
      <c r="B853" s="9">
        <v>1.4216976988494201</v>
      </c>
      <c r="C853">
        <f t="shared" si="40"/>
        <v>210869334769706.69</v>
      </c>
      <c r="D853">
        <f t="shared" si="41"/>
        <v>210.86933476970668</v>
      </c>
      <c r="H853" s="9">
        <v>10866</v>
      </c>
    </row>
    <row r="854" spans="1:8">
      <c r="A854">
        <f t="shared" si="39"/>
        <v>1.4220255827914E-6</v>
      </c>
      <c r="B854" s="9">
        <v>1.4220255827913999</v>
      </c>
      <c r="C854">
        <f t="shared" si="40"/>
        <v>210820713514531.22</v>
      </c>
      <c r="D854">
        <f t="shared" si="41"/>
        <v>210.82071351453121</v>
      </c>
      <c r="H854" s="9">
        <v>10866</v>
      </c>
    </row>
    <row r="855" spans="1:8">
      <c r="A855">
        <f t="shared" si="39"/>
        <v>1.4223534667333699E-6</v>
      </c>
      <c r="B855" s="9">
        <v>1.4223534667333699</v>
      </c>
      <c r="C855">
        <f t="shared" si="40"/>
        <v>210772114675907.19</v>
      </c>
      <c r="D855">
        <f t="shared" si="41"/>
        <v>210.77211467590718</v>
      </c>
      <c r="H855" s="9">
        <v>10866</v>
      </c>
    </row>
    <row r="856" spans="1:8">
      <c r="A856">
        <f t="shared" si="39"/>
        <v>1.4226813506753401E-6</v>
      </c>
      <c r="B856" s="9">
        <v>1.42268135067534</v>
      </c>
      <c r="C856">
        <f t="shared" si="40"/>
        <v>210723538238334.25</v>
      </c>
      <c r="D856">
        <f t="shared" si="41"/>
        <v>210.72353823833424</v>
      </c>
      <c r="H856" s="9">
        <v>10866</v>
      </c>
    </row>
    <row r="857" spans="1:8">
      <c r="A857">
        <f t="shared" si="39"/>
        <v>1.42300923461731E-6</v>
      </c>
      <c r="B857" s="9">
        <v>1.42300923461731</v>
      </c>
      <c r="C857">
        <f t="shared" si="40"/>
        <v>210674984186327.66</v>
      </c>
      <c r="D857">
        <f t="shared" si="41"/>
        <v>210.67498418632766</v>
      </c>
      <c r="H857" s="9">
        <v>10866</v>
      </c>
    </row>
    <row r="858" spans="1:8">
      <c r="A858">
        <f t="shared" si="39"/>
        <v>1.4233371185592799E-6</v>
      </c>
      <c r="B858" s="9">
        <v>1.42333711855928</v>
      </c>
      <c r="C858">
        <f t="shared" si="40"/>
        <v>210626452504417.03</v>
      </c>
      <c r="D858">
        <f t="shared" si="41"/>
        <v>210.62645250441702</v>
      </c>
      <c r="H858" s="9">
        <v>10866</v>
      </c>
    </row>
    <row r="859" spans="1:8">
      <c r="A859">
        <f t="shared" si="39"/>
        <v>1.4236650025012501E-6</v>
      </c>
      <c r="B859" s="9">
        <v>1.4236650025012501</v>
      </c>
      <c r="C859">
        <f t="shared" si="40"/>
        <v>210577943177146.25</v>
      </c>
      <c r="D859">
        <f t="shared" si="41"/>
        <v>210.57794317714624</v>
      </c>
      <c r="H859" s="9">
        <v>10866</v>
      </c>
    </row>
    <row r="860" spans="1:8">
      <c r="A860">
        <f t="shared" si="39"/>
        <v>1.42399288644322E-6</v>
      </c>
      <c r="B860" s="9">
        <v>1.4239928864432201</v>
      </c>
      <c r="C860">
        <f t="shared" si="40"/>
        <v>210529456189073.34</v>
      </c>
      <c r="D860">
        <f t="shared" si="41"/>
        <v>210.52945618907336</v>
      </c>
      <c r="H860" s="9">
        <v>10866</v>
      </c>
    </row>
    <row r="861" spans="1:8">
      <c r="A861">
        <f t="shared" si="39"/>
        <v>1.42432077038519E-6</v>
      </c>
      <c r="B861" s="9">
        <v>1.4243207703851899</v>
      </c>
      <c r="C861">
        <f t="shared" si="40"/>
        <v>210480991524770.69</v>
      </c>
      <c r="D861">
        <f t="shared" si="41"/>
        <v>210.4809915247707</v>
      </c>
      <c r="H861" s="9">
        <v>10866</v>
      </c>
    </row>
    <row r="862" spans="1:8">
      <c r="A862">
        <f t="shared" si="39"/>
        <v>1.4246486543271599E-6</v>
      </c>
      <c r="B862" s="9">
        <v>1.4246486543271599</v>
      </c>
      <c r="C862">
        <f t="shared" si="40"/>
        <v>210432549168824.69</v>
      </c>
      <c r="D862">
        <f t="shared" si="41"/>
        <v>210.43254916882469</v>
      </c>
      <c r="H862" s="9">
        <v>10866</v>
      </c>
    </row>
    <row r="863" spans="1:8">
      <c r="A863">
        <f t="shared" si="39"/>
        <v>1.42497653826913E-6</v>
      </c>
      <c r="B863" s="9">
        <v>1.42497653826913</v>
      </c>
      <c r="C863">
        <f t="shared" si="40"/>
        <v>210384129105836.06</v>
      </c>
      <c r="D863">
        <f t="shared" si="41"/>
        <v>210.38412910583605</v>
      </c>
      <c r="H863" s="9">
        <v>10866</v>
      </c>
    </row>
    <row r="864" spans="1:8">
      <c r="A864">
        <f t="shared" si="39"/>
        <v>1.4253044222111099E-6</v>
      </c>
      <c r="B864" s="9">
        <v>1.42530442221111</v>
      </c>
      <c r="C864">
        <f t="shared" si="40"/>
        <v>210335731320418.25</v>
      </c>
      <c r="D864">
        <f t="shared" si="41"/>
        <v>210.33573132041826</v>
      </c>
      <c r="H864" s="9">
        <v>10866</v>
      </c>
    </row>
    <row r="865" spans="1:8">
      <c r="A865">
        <f t="shared" si="39"/>
        <v>1.4256323061530801E-6</v>
      </c>
      <c r="B865" s="9">
        <v>1.42563230615308</v>
      </c>
      <c r="C865">
        <f t="shared" si="40"/>
        <v>210287355797203.16</v>
      </c>
      <c r="D865">
        <f t="shared" si="41"/>
        <v>210.28735579720316</v>
      </c>
      <c r="H865" s="9">
        <v>10866</v>
      </c>
    </row>
    <row r="866" spans="1:8">
      <c r="A866">
        <f t="shared" si="39"/>
        <v>1.42596019009505E-6</v>
      </c>
      <c r="B866" s="9">
        <v>1.42596019009505</v>
      </c>
      <c r="C866">
        <f t="shared" si="40"/>
        <v>210239002520832.5</v>
      </c>
      <c r="D866">
        <f t="shared" si="41"/>
        <v>210.23900252083251</v>
      </c>
      <c r="H866" s="9">
        <v>10866</v>
      </c>
    </row>
    <row r="867" spans="1:8">
      <c r="A867">
        <f t="shared" si="39"/>
        <v>1.4262880740370202E-6</v>
      </c>
      <c r="B867" s="9">
        <v>1.4262880740370201</v>
      </c>
      <c r="C867">
        <f t="shared" si="40"/>
        <v>210190671475963.5</v>
      </c>
      <c r="D867">
        <f t="shared" si="41"/>
        <v>210.19067147596351</v>
      </c>
      <c r="H867" s="9">
        <v>10866</v>
      </c>
    </row>
    <row r="868" spans="1:8">
      <c r="A868">
        <f t="shared" si="39"/>
        <v>1.4266159579789901E-6</v>
      </c>
      <c r="B868" s="9">
        <v>1.4266159579789901</v>
      </c>
      <c r="C868">
        <f t="shared" si="40"/>
        <v>210142362647267.59</v>
      </c>
      <c r="D868">
        <f t="shared" si="41"/>
        <v>210.14236264726759</v>
      </c>
      <c r="H868" s="9">
        <v>10866</v>
      </c>
    </row>
    <row r="869" spans="1:8">
      <c r="A869">
        <f t="shared" si="39"/>
        <v>1.4269438419209598E-6</v>
      </c>
      <c r="B869" s="9">
        <v>1.4269438419209599</v>
      </c>
      <c r="C869">
        <f t="shared" si="40"/>
        <v>210094076019430.25</v>
      </c>
      <c r="D869">
        <f t="shared" si="41"/>
        <v>210.09407601943025</v>
      </c>
      <c r="H869" s="9">
        <v>10866</v>
      </c>
    </row>
    <row r="870" spans="1:8">
      <c r="A870">
        <f t="shared" si="39"/>
        <v>1.42727172586293E-6</v>
      </c>
      <c r="B870" s="9">
        <v>1.4272717258629299</v>
      </c>
      <c r="C870">
        <f t="shared" si="40"/>
        <v>210045811577150.94</v>
      </c>
      <c r="D870">
        <f t="shared" si="41"/>
        <v>210.04581157715094</v>
      </c>
      <c r="H870" s="9">
        <v>10866</v>
      </c>
    </row>
    <row r="871" spans="1:8">
      <c r="A871">
        <f t="shared" si="39"/>
        <v>1.4275996098048999E-6</v>
      </c>
      <c r="B871" s="9">
        <v>1.4275996098049</v>
      </c>
      <c r="C871">
        <f t="shared" si="40"/>
        <v>209997569305143.28</v>
      </c>
      <c r="D871">
        <f t="shared" si="41"/>
        <v>209.99756930514329</v>
      </c>
      <c r="H871" s="9">
        <v>10866</v>
      </c>
    </row>
    <row r="872" spans="1:8">
      <c r="A872">
        <f t="shared" si="39"/>
        <v>1.42792749374687E-6</v>
      </c>
      <c r="B872" s="9">
        <v>1.42792749374687</v>
      </c>
      <c r="C872">
        <f t="shared" si="40"/>
        <v>209949349188134.97</v>
      </c>
      <c r="D872">
        <f t="shared" si="41"/>
        <v>209.94934918813496</v>
      </c>
      <c r="H872" s="9">
        <v>10866</v>
      </c>
    </row>
    <row r="873" spans="1:8">
      <c r="A873">
        <f t="shared" si="39"/>
        <v>1.42825537768884E-6</v>
      </c>
      <c r="B873" s="9">
        <v>1.42825537768884</v>
      </c>
      <c r="C873">
        <f t="shared" si="40"/>
        <v>209901151210867.59</v>
      </c>
      <c r="D873">
        <f t="shared" si="41"/>
        <v>209.9011512108676</v>
      </c>
      <c r="H873" s="9">
        <v>10866</v>
      </c>
    </row>
    <row r="874" spans="1:8">
      <c r="A874">
        <f t="shared" si="39"/>
        <v>1.4285832616308201E-6</v>
      </c>
      <c r="B874" s="9">
        <v>1.4285832616308201</v>
      </c>
      <c r="C874">
        <f t="shared" si="40"/>
        <v>209852975358095.37</v>
      </c>
      <c r="D874">
        <f t="shared" si="41"/>
        <v>209.85297535809536</v>
      </c>
      <c r="H874" s="9">
        <v>10866</v>
      </c>
    </row>
    <row r="875" spans="1:8">
      <c r="A875">
        <f t="shared" si="39"/>
        <v>1.42891114557279E-6</v>
      </c>
      <c r="B875" s="9">
        <v>1.4289111455727901</v>
      </c>
      <c r="C875">
        <f t="shared" si="40"/>
        <v>209804821614590.94</v>
      </c>
      <c r="D875">
        <f t="shared" si="41"/>
        <v>209.80482161459094</v>
      </c>
      <c r="H875" s="9">
        <v>10866</v>
      </c>
    </row>
    <row r="876" spans="1:8">
      <c r="A876">
        <f t="shared" si="39"/>
        <v>1.42923902951476E-6</v>
      </c>
      <c r="B876" s="9">
        <v>1.4292390295147599</v>
      </c>
      <c r="C876">
        <f t="shared" si="40"/>
        <v>209756689965136.47</v>
      </c>
      <c r="D876">
        <f t="shared" si="41"/>
        <v>209.75668996513647</v>
      </c>
      <c r="H876" s="9">
        <v>10866</v>
      </c>
    </row>
    <row r="877" spans="1:8">
      <c r="A877">
        <f t="shared" si="39"/>
        <v>1.4295669134567299E-6</v>
      </c>
      <c r="B877" s="9">
        <v>1.4295669134567299</v>
      </c>
      <c r="C877">
        <f t="shared" si="40"/>
        <v>209708580394529.47</v>
      </c>
      <c r="D877">
        <f t="shared" si="41"/>
        <v>209.70858039452946</v>
      </c>
      <c r="H877" s="9">
        <v>10866</v>
      </c>
    </row>
    <row r="878" spans="1:8">
      <c r="A878">
        <f t="shared" si="39"/>
        <v>1.4298947973987E-6</v>
      </c>
      <c r="B878" s="9">
        <v>1.4298947973987</v>
      </c>
      <c r="C878">
        <f t="shared" si="40"/>
        <v>209660492887581.56</v>
      </c>
      <c r="D878">
        <f t="shared" si="41"/>
        <v>209.66049288758157</v>
      </c>
      <c r="H878" s="9">
        <v>10866</v>
      </c>
    </row>
    <row r="879" spans="1:8">
      <c r="A879">
        <f t="shared" si="39"/>
        <v>1.43022268134067E-6</v>
      </c>
      <c r="B879" s="9">
        <v>1.43022268134067</v>
      </c>
      <c r="C879">
        <f t="shared" si="40"/>
        <v>209612427429118.19</v>
      </c>
      <c r="D879">
        <f t="shared" si="41"/>
        <v>209.61242742911818</v>
      </c>
      <c r="H879" s="9">
        <v>10866</v>
      </c>
    </row>
    <row r="880" spans="1:8">
      <c r="A880">
        <f t="shared" si="39"/>
        <v>1.4305505652826401E-6</v>
      </c>
      <c r="B880" s="9">
        <v>1.43055056528264</v>
      </c>
      <c r="C880">
        <f t="shared" si="40"/>
        <v>209564384003978.72</v>
      </c>
      <c r="D880">
        <f t="shared" si="41"/>
        <v>209.56438400397872</v>
      </c>
      <c r="H880" s="9">
        <v>10866</v>
      </c>
    </row>
    <row r="881" spans="1:8">
      <c r="A881">
        <f t="shared" si="39"/>
        <v>1.4308784492246101E-6</v>
      </c>
      <c r="B881" s="9">
        <v>1.43087844922461</v>
      </c>
      <c r="C881">
        <f t="shared" si="40"/>
        <v>209516362597016.47</v>
      </c>
      <c r="D881">
        <f t="shared" si="41"/>
        <v>209.51636259701647</v>
      </c>
      <c r="H881" s="9">
        <v>10866</v>
      </c>
    </row>
    <row r="882" spans="1:8">
      <c r="A882">
        <f t="shared" si="39"/>
        <v>1.43120633316658E-6</v>
      </c>
      <c r="B882" s="9">
        <v>1.4312063331665801</v>
      </c>
      <c r="C882">
        <f t="shared" si="40"/>
        <v>209468363193098.56</v>
      </c>
      <c r="D882">
        <f t="shared" si="41"/>
        <v>209.46836319309855</v>
      </c>
      <c r="H882" s="9">
        <v>10866</v>
      </c>
    </row>
    <row r="883" spans="1:8">
      <c r="A883">
        <f t="shared" si="39"/>
        <v>1.4315342171085499E-6</v>
      </c>
      <c r="B883" s="9">
        <v>1.4315342171085499</v>
      </c>
      <c r="C883">
        <f t="shared" si="40"/>
        <v>209420385777106.03</v>
      </c>
      <c r="D883">
        <f t="shared" si="41"/>
        <v>209.42038577710602</v>
      </c>
      <c r="H883" s="9">
        <v>10866</v>
      </c>
    </row>
    <row r="884" spans="1:8">
      <c r="A884">
        <f t="shared" si="39"/>
        <v>1.4318621010505298E-6</v>
      </c>
      <c r="B884" s="9">
        <v>1.4318621010505299</v>
      </c>
      <c r="C884">
        <f t="shared" si="40"/>
        <v>209372430333932.28</v>
      </c>
      <c r="D884">
        <f t="shared" si="41"/>
        <v>209.37243033393227</v>
      </c>
      <c r="H884" s="9">
        <v>10866</v>
      </c>
    </row>
    <row r="885" spans="1:8">
      <c r="A885">
        <f t="shared" si="39"/>
        <v>1.4321899849925E-6</v>
      </c>
      <c r="B885" s="9">
        <v>1.4321899849924999</v>
      </c>
      <c r="C885">
        <f t="shared" si="40"/>
        <v>209324496848488.97</v>
      </c>
      <c r="D885">
        <f t="shared" si="41"/>
        <v>209.32449684848896</v>
      </c>
      <c r="H885" s="9">
        <v>10866</v>
      </c>
    </row>
    <row r="886" spans="1:8">
      <c r="A886">
        <f t="shared" si="39"/>
        <v>1.4325178689344699E-6</v>
      </c>
      <c r="B886" s="9">
        <v>1.43251786893447</v>
      </c>
      <c r="C886">
        <f t="shared" si="40"/>
        <v>209276585305697.09</v>
      </c>
      <c r="D886">
        <f t="shared" si="41"/>
        <v>209.2765853056971</v>
      </c>
      <c r="H886" s="9">
        <v>10866</v>
      </c>
    </row>
    <row r="887" spans="1:8">
      <c r="A887">
        <f t="shared" si="39"/>
        <v>1.43284575287644E-6</v>
      </c>
      <c r="B887" s="9">
        <v>1.43284575287644</v>
      </c>
      <c r="C887">
        <f t="shared" si="40"/>
        <v>209228695690493</v>
      </c>
      <c r="D887">
        <f t="shared" si="41"/>
        <v>209.228695690493</v>
      </c>
      <c r="H887" s="9">
        <v>10866</v>
      </c>
    </row>
    <row r="888" spans="1:8">
      <c r="A888">
        <f t="shared" si="39"/>
        <v>1.43317363681841E-6</v>
      </c>
      <c r="B888" s="9">
        <v>1.43317363681841</v>
      </c>
      <c r="C888">
        <f t="shared" si="40"/>
        <v>209180827987826.81</v>
      </c>
      <c r="D888">
        <f t="shared" si="41"/>
        <v>209.1808279878268</v>
      </c>
      <c r="H888" s="9">
        <v>10866</v>
      </c>
    </row>
    <row r="889" spans="1:8">
      <c r="A889">
        <f t="shared" si="39"/>
        <v>1.4335015207603801E-6</v>
      </c>
      <c r="B889" s="9">
        <v>1.4335015207603801</v>
      </c>
      <c r="C889">
        <f t="shared" si="40"/>
        <v>209132982182662.37</v>
      </c>
      <c r="D889">
        <f t="shared" si="41"/>
        <v>209.13298218266237</v>
      </c>
      <c r="H889" s="9">
        <v>10866</v>
      </c>
    </row>
    <row r="890" spans="1:8">
      <c r="A890">
        <f t="shared" si="39"/>
        <v>1.4338294047023501E-6</v>
      </c>
      <c r="B890" s="9">
        <v>1.4338294047023501</v>
      </c>
      <c r="C890">
        <f t="shared" si="40"/>
        <v>209085158259977.37</v>
      </c>
      <c r="D890">
        <f t="shared" si="41"/>
        <v>209.08515825997736</v>
      </c>
      <c r="H890" s="9">
        <v>10866</v>
      </c>
    </row>
    <row r="891" spans="1:8">
      <c r="A891">
        <f t="shared" si="39"/>
        <v>1.43415728864432E-6</v>
      </c>
      <c r="B891" s="9">
        <v>1.4341572886443199</v>
      </c>
      <c r="C891">
        <f t="shared" si="40"/>
        <v>209037356204763.12</v>
      </c>
      <c r="D891">
        <f t="shared" si="41"/>
        <v>209.03735620476311</v>
      </c>
      <c r="H891" s="9">
        <v>10866</v>
      </c>
    </row>
    <row r="892" spans="1:8">
      <c r="A892">
        <f t="shared" si="39"/>
        <v>1.4344851725862899E-6</v>
      </c>
      <c r="B892" s="9">
        <v>1.4344851725862899</v>
      </c>
      <c r="C892">
        <f t="shared" si="40"/>
        <v>208989576002024.72</v>
      </c>
      <c r="D892">
        <f t="shared" si="41"/>
        <v>208.98957600202471</v>
      </c>
      <c r="H892" s="9">
        <v>10866</v>
      </c>
    </row>
    <row r="893" spans="1:8">
      <c r="A893">
        <f t="shared" si="39"/>
        <v>1.4348130565282599E-6</v>
      </c>
      <c r="B893" s="9">
        <v>1.43481305652826</v>
      </c>
      <c r="C893">
        <f t="shared" si="40"/>
        <v>208941817636780.97</v>
      </c>
      <c r="D893">
        <f t="shared" si="41"/>
        <v>208.94181763678097</v>
      </c>
      <c r="H893" s="9">
        <v>10866</v>
      </c>
    </row>
    <row r="894" spans="1:8">
      <c r="A894">
        <f t="shared" si="39"/>
        <v>1.43514094047024E-6</v>
      </c>
      <c r="B894" s="9">
        <v>1.43514094047024</v>
      </c>
      <c r="C894">
        <f t="shared" si="40"/>
        <v>208894081094062.91</v>
      </c>
      <c r="D894">
        <f t="shared" si="41"/>
        <v>208.8940810940629</v>
      </c>
      <c r="H894" s="9">
        <v>10866</v>
      </c>
    </row>
    <row r="895" spans="1:8">
      <c r="A895">
        <f t="shared" si="39"/>
        <v>1.4354688244122101E-6</v>
      </c>
      <c r="B895" s="9">
        <v>1.43546882441221</v>
      </c>
      <c r="C895">
        <f t="shared" si="40"/>
        <v>208846366358919.56</v>
      </c>
      <c r="D895">
        <f t="shared" si="41"/>
        <v>208.84636635891957</v>
      </c>
      <c r="H895" s="9">
        <v>10866</v>
      </c>
    </row>
    <row r="896" spans="1:8">
      <c r="A896">
        <f t="shared" si="39"/>
        <v>1.4357967083541801E-6</v>
      </c>
      <c r="B896" s="9">
        <v>1.4357967083541801</v>
      </c>
      <c r="C896">
        <f t="shared" si="40"/>
        <v>208798673416409.37</v>
      </c>
      <c r="D896">
        <f t="shared" si="41"/>
        <v>208.79867341640937</v>
      </c>
      <c r="H896" s="9">
        <v>10866</v>
      </c>
    </row>
    <row r="897" spans="1:8">
      <c r="A897">
        <f t="shared" si="39"/>
        <v>1.43612459229615E-6</v>
      </c>
      <c r="B897" s="9">
        <v>1.4361245922961501</v>
      </c>
      <c r="C897">
        <f t="shared" si="40"/>
        <v>208751002251605.75</v>
      </c>
      <c r="D897">
        <f t="shared" si="41"/>
        <v>208.75100225160574</v>
      </c>
      <c r="H897" s="9">
        <v>10866</v>
      </c>
    </row>
    <row r="898" spans="1:8">
      <c r="A898">
        <f t="shared" si="39"/>
        <v>1.4364524762381199E-6</v>
      </c>
      <c r="B898" s="9">
        <v>1.4364524762381199</v>
      </c>
      <c r="C898">
        <f t="shared" si="40"/>
        <v>208703352849595.81</v>
      </c>
      <c r="D898">
        <f t="shared" si="41"/>
        <v>208.7033528495958</v>
      </c>
      <c r="H898" s="9">
        <v>10866</v>
      </c>
    </row>
    <row r="899" spans="1:8">
      <c r="A899">
        <f t="shared" si="39"/>
        <v>1.4367803601800899E-6</v>
      </c>
      <c r="B899" s="9">
        <v>1.4367803601800899</v>
      </c>
      <c r="C899">
        <f t="shared" si="40"/>
        <v>208655725195480.28</v>
      </c>
      <c r="D899">
        <f t="shared" si="41"/>
        <v>208.65572519548027</v>
      </c>
      <c r="H899" s="9">
        <v>10866</v>
      </c>
    </row>
    <row r="900" spans="1:8">
      <c r="A900">
        <f t="shared" si="39"/>
        <v>1.43710824412206E-6</v>
      </c>
      <c r="B900" s="9">
        <v>1.43710824412206</v>
      </c>
      <c r="C900">
        <f t="shared" si="40"/>
        <v>208608119274373.41</v>
      </c>
      <c r="D900">
        <f t="shared" si="41"/>
        <v>208.60811927437339</v>
      </c>
      <c r="H900" s="9">
        <v>10866</v>
      </c>
    </row>
    <row r="901" spans="1:8">
      <c r="A901">
        <f t="shared" si="39"/>
        <v>1.4374361280640299E-6</v>
      </c>
      <c r="B901" s="9">
        <v>1.43743612806403</v>
      </c>
      <c r="C901">
        <f t="shared" si="40"/>
        <v>208560535071403.09</v>
      </c>
      <c r="D901">
        <f t="shared" si="41"/>
        <v>208.56053507140308</v>
      </c>
      <c r="H901" s="9">
        <v>10866</v>
      </c>
    </row>
    <row r="902" spans="1:8">
      <c r="A902">
        <f t="shared" si="39"/>
        <v>1.4377640120060001E-6</v>
      </c>
      <c r="B902" s="9">
        <v>1.437764012006</v>
      </c>
      <c r="C902">
        <f t="shared" si="40"/>
        <v>208512972571710.84</v>
      </c>
      <c r="D902">
        <f t="shared" si="41"/>
        <v>208.51297257171083</v>
      </c>
      <c r="H902" s="9">
        <v>10866</v>
      </c>
    </row>
    <row r="903" spans="1:8">
      <c r="A903">
        <f t="shared" ref="A903:A966" si="42">B903/1000000</f>
        <v>1.43809189594797E-6</v>
      </c>
      <c r="B903" s="9">
        <v>1.43809189594797</v>
      </c>
      <c r="C903">
        <f t="shared" ref="C903:C966" si="43">wavelength_to_freq(B903)</f>
        <v>208465431760451.59</v>
      </c>
      <c r="D903">
        <f t="shared" ref="D903:D966" si="44">C903/1000000000000</f>
        <v>208.46543176045159</v>
      </c>
      <c r="H903" s="9">
        <v>10866</v>
      </c>
    </row>
    <row r="904" spans="1:8">
      <c r="A904">
        <f t="shared" si="42"/>
        <v>1.4384197798899402E-6</v>
      </c>
      <c r="B904" s="9">
        <v>1.4384197798899401</v>
      </c>
      <c r="C904">
        <f t="shared" si="43"/>
        <v>208417912622793.94</v>
      </c>
      <c r="D904">
        <f t="shared" si="44"/>
        <v>208.41791262279395</v>
      </c>
      <c r="H904" s="9">
        <v>10866</v>
      </c>
    </row>
    <row r="905" spans="1:8">
      <c r="A905">
        <f t="shared" si="42"/>
        <v>1.4387476638319201E-6</v>
      </c>
      <c r="B905" s="9">
        <v>1.4387476638319201</v>
      </c>
      <c r="C905">
        <f t="shared" si="43"/>
        <v>208370415143918.44</v>
      </c>
      <c r="D905">
        <f t="shared" si="44"/>
        <v>208.37041514391845</v>
      </c>
      <c r="H905" s="9">
        <v>10866</v>
      </c>
    </row>
    <row r="906" spans="1:8">
      <c r="A906">
        <f t="shared" si="42"/>
        <v>1.43907554777389E-6</v>
      </c>
      <c r="B906" s="9">
        <v>1.4390755477738899</v>
      </c>
      <c r="C906">
        <f t="shared" si="43"/>
        <v>208322939309023.62</v>
      </c>
      <c r="D906">
        <f t="shared" si="44"/>
        <v>208.32293930902364</v>
      </c>
      <c r="H906" s="9">
        <v>10866</v>
      </c>
    </row>
    <row r="907" spans="1:8">
      <c r="A907">
        <f t="shared" si="42"/>
        <v>1.4394034317158599E-6</v>
      </c>
      <c r="B907" s="9">
        <v>1.4394034317158599</v>
      </c>
      <c r="C907">
        <f t="shared" si="43"/>
        <v>208275485103317.03</v>
      </c>
      <c r="D907">
        <f t="shared" si="44"/>
        <v>208.27548510331704</v>
      </c>
      <c r="H907" s="9">
        <v>10866</v>
      </c>
    </row>
    <row r="908" spans="1:8">
      <c r="A908">
        <f t="shared" si="42"/>
        <v>1.4397313156578299E-6</v>
      </c>
      <c r="B908" s="9">
        <v>1.43973131565783</v>
      </c>
      <c r="C908">
        <f t="shared" si="43"/>
        <v>208228052512021.22</v>
      </c>
      <c r="D908">
        <f t="shared" si="44"/>
        <v>208.22805251202121</v>
      </c>
      <c r="H908" s="9">
        <v>10866</v>
      </c>
    </row>
    <row r="909" spans="1:8">
      <c r="A909">
        <f t="shared" si="42"/>
        <v>1.4400591995998E-6</v>
      </c>
      <c r="B909" s="9">
        <v>1.4400591995998</v>
      </c>
      <c r="C909">
        <f t="shared" si="43"/>
        <v>208180641520372.16</v>
      </c>
      <c r="D909">
        <f t="shared" si="44"/>
        <v>208.18064152037215</v>
      </c>
      <c r="H909" s="9">
        <v>10866</v>
      </c>
    </row>
    <row r="910" spans="1:8">
      <c r="A910">
        <f t="shared" si="42"/>
        <v>1.44038708354177E-6</v>
      </c>
      <c r="B910" s="9">
        <v>1.44038708354177</v>
      </c>
      <c r="C910">
        <f t="shared" si="43"/>
        <v>208133252113619.28</v>
      </c>
      <c r="D910">
        <f t="shared" si="44"/>
        <v>208.13325211361928</v>
      </c>
      <c r="H910" s="9">
        <v>10866</v>
      </c>
    </row>
    <row r="911" spans="1:8">
      <c r="A911">
        <f t="shared" si="42"/>
        <v>1.4407149674837401E-6</v>
      </c>
      <c r="B911" s="9">
        <v>1.4407149674837401</v>
      </c>
      <c r="C911">
        <f t="shared" si="43"/>
        <v>208085884277025.44</v>
      </c>
      <c r="D911">
        <f t="shared" si="44"/>
        <v>208.08588427702543</v>
      </c>
      <c r="H911" s="9">
        <v>10866</v>
      </c>
    </row>
    <row r="912" spans="1:8">
      <c r="A912">
        <f t="shared" si="42"/>
        <v>1.44104285142571E-6</v>
      </c>
      <c r="B912" s="9">
        <v>1.4410428514257101</v>
      </c>
      <c r="C912">
        <f t="shared" si="43"/>
        <v>208038537995866.91</v>
      </c>
      <c r="D912">
        <f t="shared" si="44"/>
        <v>208.0385379958669</v>
      </c>
      <c r="H912" s="9">
        <v>10866</v>
      </c>
    </row>
    <row r="913" spans="1:8">
      <c r="A913">
        <f t="shared" si="42"/>
        <v>1.44137073536768E-6</v>
      </c>
      <c r="B913" s="9">
        <v>1.4413707353676799</v>
      </c>
      <c r="C913">
        <f t="shared" si="43"/>
        <v>207991213255433.41</v>
      </c>
      <c r="D913">
        <f t="shared" si="44"/>
        <v>207.99121325543339</v>
      </c>
      <c r="H913" s="9">
        <v>10866</v>
      </c>
    </row>
    <row r="914" spans="1:8">
      <c r="A914">
        <f t="shared" si="42"/>
        <v>1.4416986193096499E-6</v>
      </c>
      <c r="B914" s="9">
        <v>1.4416986193096499</v>
      </c>
      <c r="C914">
        <f t="shared" si="43"/>
        <v>207943910041027.91</v>
      </c>
      <c r="D914">
        <f t="shared" si="44"/>
        <v>207.94391004102792</v>
      </c>
      <c r="H914" s="9">
        <v>10866</v>
      </c>
    </row>
    <row r="915" spans="1:8">
      <c r="A915">
        <f t="shared" si="42"/>
        <v>1.44202650325163E-6</v>
      </c>
      <c r="B915" s="9">
        <v>1.44202650325163</v>
      </c>
      <c r="C915">
        <f t="shared" si="43"/>
        <v>207896628337965.44</v>
      </c>
      <c r="D915">
        <f t="shared" si="44"/>
        <v>207.89662833796544</v>
      </c>
      <c r="H915" s="9">
        <v>10866</v>
      </c>
    </row>
    <row r="916" spans="1:8">
      <c r="A916">
        <f t="shared" si="42"/>
        <v>1.4423543871935999E-6</v>
      </c>
      <c r="B916" s="9">
        <v>1.4423543871936</v>
      </c>
      <c r="C916">
        <f t="shared" si="43"/>
        <v>207849368131578.59</v>
      </c>
      <c r="D916">
        <f t="shared" si="44"/>
        <v>207.84936813157859</v>
      </c>
      <c r="H916" s="9">
        <v>10866</v>
      </c>
    </row>
    <row r="917" spans="1:8">
      <c r="A917">
        <f t="shared" si="42"/>
        <v>1.4426822711355701E-6</v>
      </c>
      <c r="B917" s="9">
        <v>1.44268227113557</v>
      </c>
      <c r="C917">
        <f t="shared" si="43"/>
        <v>207802129407209.06</v>
      </c>
      <c r="D917">
        <f t="shared" si="44"/>
        <v>207.80212940720907</v>
      </c>
      <c r="H917" s="9">
        <v>10866</v>
      </c>
    </row>
    <row r="918" spans="1:8">
      <c r="A918">
        <f t="shared" si="42"/>
        <v>1.44301015507754E-6</v>
      </c>
      <c r="B918" s="9">
        <v>1.44301015507754</v>
      </c>
      <c r="C918">
        <f t="shared" si="43"/>
        <v>207754912150213.31</v>
      </c>
      <c r="D918">
        <f t="shared" si="44"/>
        <v>207.7549121502133</v>
      </c>
      <c r="H918" s="9">
        <v>10866</v>
      </c>
    </row>
    <row r="919" spans="1:8">
      <c r="A919">
        <f t="shared" si="42"/>
        <v>1.4433380390195102E-6</v>
      </c>
      <c r="B919" s="9">
        <v>1.4433380390195101</v>
      </c>
      <c r="C919">
        <f t="shared" si="43"/>
        <v>207707716345961</v>
      </c>
      <c r="D919">
        <f t="shared" si="44"/>
        <v>207.70771634596099</v>
      </c>
      <c r="H919" s="9">
        <v>10866</v>
      </c>
    </row>
    <row r="920" spans="1:8">
      <c r="A920">
        <f t="shared" si="42"/>
        <v>1.4436659229614801E-6</v>
      </c>
      <c r="B920" s="9">
        <v>1.4436659229614801</v>
      </c>
      <c r="C920">
        <f t="shared" si="43"/>
        <v>207660541979835.22</v>
      </c>
      <c r="D920">
        <f t="shared" si="44"/>
        <v>207.66054197983522</v>
      </c>
      <c r="H920" s="9">
        <v>10866</v>
      </c>
    </row>
    <row r="921" spans="1:8">
      <c r="A921">
        <f t="shared" si="42"/>
        <v>1.4439938069034498E-6</v>
      </c>
      <c r="B921" s="9">
        <v>1.4439938069034499</v>
      </c>
      <c r="C921">
        <f t="shared" si="43"/>
        <v>207613389037232.28</v>
      </c>
      <c r="D921">
        <f t="shared" si="44"/>
        <v>207.61338903723228</v>
      </c>
      <c r="H921" s="9">
        <v>10866</v>
      </c>
    </row>
    <row r="922" spans="1:8">
      <c r="A922">
        <f t="shared" si="42"/>
        <v>1.44432169084542E-6</v>
      </c>
      <c r="B922" s="9">
        <v>1.4443216908454199</v>
      </c>
      <c r="C922">
        <f t="shared" si="43"/>
        <v>207566257503561.66</v>
      </c>
      <c r="D922">
        <f t="shared" si="44"/>
        <v>207.56625750356164</v>
      </c>
      <c r="H922" s="9">
        <v>10866</v>
      </c>
    </row>
    <row r="923" spans="1:8">
      <c r="A923">
        <f t="shared" si="42"/>
        <v>1.4446495747873899E-6</v>
      </c>
      <c r="B923" s="9">
        <v>1.44464957478739</v>
      </c>
      <c r="C923">
        <f t="shared" si="43"/>
        <v>207519147364246.22</v>
      </c>
      <c r="D923">
        <f t="shared" si="44"/>
        <v>207.51914736424621</v>
      </c>
      <c r="H923" s="9">
        <v>10866</v>
      </c>
    </row>
    <row r="924" spans="1:8">
      <c r="A924">
        <f t="shared" si="42"/>
        <v>1.4449774587293601E-6</v>
      </c>
      <c r="B924" s="9">
        <v>1.44497745872936</v>
      </c>
      <c r="C924">
        <f t="shared" si="43"/>
        <v>207472058604721.97</v>
      </c>
      <c r="D924">
        <f t="shared" si="44"/>
        <v>207.47205860472198</v>
      </c>
      <c r="H924" s="9">
        <v>10866</v>
      </c>
    </row>
    <row r="925" spans="1:8">
      <c r="A925">
        <f t="shared" si="42"/>
        <v>1.44530534267134E-6</v>
      </c>
      <c r="B925" s="9">
        <v>1.44530534267134</v>
      </c>
      <c r="C925">
        <f t="shared" si="43"/>
        <v>207424991210436.75</v>
      </c>
      <c r="D925">
        <f t="shared" si="44"/>
        <v>207.42499121043676</v>
      </c>
      <c r="H925" s="9">
        <v>10866</v>
      </c>
    </row>
    <row r="926" spans="1:8">
      <c r="A926">
        <f t="shared" si="42"/>
        <v>1.4456332266133101E-6</v>
      </c>
      <c r="B926" s="9">
        <v>1.4456332266133101</v>
      </c>
      <c r="C926">
        <f t="shared" si="43"/>
        <v>207377945166855.91</v>
      </c>
      <c r="D926">
        <f t="shared" si="44"/>
        <v>207.37794516685591</v>
      </c>
      <c r="H926" s="9">
        <v>10866</v>
      </c>
    </row>
    <row r="927" spans="1:8">
      <c r="A927">
        <f t="shared" si="42"/>
        <v>1.44596111055528E-6</v>
      </c>
      <c r="B927" s="9">
        <v>1.4459611105552801</v>
      </c>
      <c r="C927">
        <f t="shared" si="43"/>
        <v>207330920459453.62</v>
      </c>
      <c r="D927">
        <f t="shared" si="44"/>
        <v>207.33092045945364</v>
      </c>
      <c r="H927" s="9">
        <v>10866</v>
      </c>
    </row>
    <row r="928" spans="1:8">
      <c r="A928">
        <f t="shared" si="42"/>
        <v>1.44628899449725E-6</v>
      </c>
      <c r="B928" s="9">
        <v>1.4462889944972499</v>
      </c>
      <c r="C928">
        <f t="shared" si="43"/>
        <v>207283917073718.75</v>
      </c>
      <c r="D928">
        <f t="shared" si="44"/>
        <v>207.28391707371875</v>
      </c>
      <c r="H928" s="9">
        <v>10866</v>
      </c>
    </row>
    <row r="929" spans="1:8">
      <c r="A929">
        <f t="shared" si="42"/>
        <v>1.4466168784392199E-6</v>
      </c>
      <c r="B929" s="9">
        <v>1.4466168784392199</v>
      </c>
      <c r="C929">
        <f t="shared" si="43"/>
        <v>207236934995153.16</v>
      </c>
      <c r="D929">
        <f t="shared" si="44"/>
        <v>207.23693499515315</v>
      </c>
      <c r="H929" s="9">
        <v>10866</v>
      </c>
    </row>
    <row r="930" spans="1:8">
      <c r="A930">
        <f t="shared" si="42"/>
        <v>1.4469447623811901E-6</v>
      </c>
      <c r="B930" s="9">
        <v>1.44694476238119</v>
      </c>
      <c r="C930">
        <f t="shared" si="43"/>
        <v>207189974209272.03</v>
      </c>
      <c r="D930">
        <f t="shared" si="44"/>
        <v>207.18997420927204</v>
      </c>
      <c r="H930" s="9">
        <v>10866</v>
      </c>
    </row>
    <row r="931" spans="1:8">
      <c r="A931">
        <f t="shared" si="42"/>
        <v>1.44727264632316E-6</v>
      </c>
      <c r="B931" s="9">
        <v>1.44727264632316</v>
      </c>
      <c r="C931">
        <f t="shared" si="43"/>
        <v>207143034701603.59</v>
      </c>
      <c r="D931">
        <f t="shared" si="44"/>
        <v>207.1430347016036</v>
      </c>
      <c r="H931" s="9">
        <v>10866</v>
      </c>
    </row>
    <row r="932" spans="1:8">
      <c r="A932">
        <f t="shared" si="42"/>
        <v>1.4476005302651299E-6</v>
      </c>
      <c r="B932" s="9">
        <v>1.44760053026513</v>
      </c>
      <c r="C932">
        <f t="shared" si="43"/>
        <v>207096116457689.19</v>
      </c>
      <c r="D932">
        <f t="shared" si="44"/>
        <v>207.09611645768919</v>
      </c>
      <c r="H932" s="9">
        <v>10866</v>
      </c>
    </row>
    <row r="933" spans="1:8">
      <c r="A933">
        <f t="shared" si="42"/>
        <v>1.4479284142071001E-6</v>
      </c>
      <c r="B933" s="9">
        <v>1.4479284142071001</v>
      </c>
      <c r="C933">
        <f t="shared" si="43"/>
        <v>207049219463083.28</v>
      </c>
      <c r="D933">
        <f t="shared" si="44"/>
        <v>207.04921946308329</v>
      </c>
      <c r="H933" s="9">
        <v>10866</v>
      </c>
    </row>
    <row r="934" spans="1:8">
      <c r="A934">
        <f t="shared" si="42"/>
        <v>1.44825629814907E-6</v>
      </c>
      <c r="B934" s="9">
        <v>1.4482562981490701</v>
      </c>
      <c r="C934">
        <f t="shared" si="43"/>
        <v>207002343703353.34</v>
      </c>
      <c r="D934">
        <f t="shared" si="44"/>
        <v>207.00234370335335</v>
      </c>
      <c r="H934" s="9">
        <v>10866</v>
      </c>
    </row>
    <row r="935" spans="1:8">
      <c r="A935">
        <f t="shared" si="42"/>
        <v>1.4485841820910501E-6</v>
      </c>
      <c r="B935" s="9">
        <v>1.4485841820910501</v>
      </c>
      <c r="C935">
        <f t="shared" si="43"/>
        <v>206955489164078.62</v>
      </c>
      <c r="D935">
        <f t="shared" si="44"/>
        <v>206.95548916407861</v>
      </c>
      <c r="H935" s="9">
        <v>10866</v>
      </c>
    </row>
    <row r="936" spans="1:8">
      <c r="A936">
        <f t="shared" si="42"/>
        <v>1.4489120660330198E-6</v>
      </c>
      <c r="B936" s="9">
        <v>1.4489120660330199</v>
      </c>
      <c r="C936">
        <f t="shared" si="43"/>
        <v>206908655830855.56</v>
      </c>
      <c r="D936">
        <f t="shared" si="44"/>
        <v>206.90865583085557</v>
      </c>
      <c r="H936" s="9">
        <v>10866</v>
      </c>
    </row>
    <row r="937" spans="1:8">
      <c r="A937">
        <f t="shared" si="42"/>
        <v>1.44923994997499E-6</v>
      </c>
      <c r="B937" s="9">
        <v>1.4492399499749899</v>
      </c>
      <c r="C937">
        <f t="shared" si="43"/>
        <v>206861843689289.44</v>
      </c>
      <c r="D937">
        <f t="shared" si="44"/>
        <v>206.86184368928943</v>
      </c>
      <c r="H937" s="9">
        <v>10866</v>
      </c>
    </row>
    <row r="938" spans="1:8">
      <c r="A938">
        <f t="shared" si="42"/>
        <v>1.4495678339169599E-6</v>
      </c>
      <c r="B938" s="9">
        <v>1.44956783391696</v>
      </c>
      <c r="C938">
        <f t="shared" si="43"/>
        <v>206815052724999.91</v>
      </c>
      <c r="D938">
        <f t="shared" si="44"/>
        <v>206.8150527249999</v>
      </c>
      <c r="H938" s="9">
        <v>10866</v>
      </c>
    </row>
    <row r="939" spans="1:8">
      <c r="A939">
        <f t="shared" si="42"/>
        <v>1.4498957178589301E-6</v>
      </c>
      <c r="B939" s="9">
        <v>1.44989571785893</v>
      </c>
      <c r="C939">
        <f t="shared" si="43"/>
        <v>206768282923619.75</v>
      </c>
      <c r="D939">
        <f t="shared" si="44"/>
        <v>206.76828292361975</v>
      </c>
      <c r="H939" s="9">
        <v>10866</v>
      </c>
    </row>
    <row r="940" spans="1:8">
      <c r="A940">
        <f t="shared" si="42"/>
        <v>1.4502236018009E-6</v>
      </c>
      <c r="B940" s="9">
        <v>1.4502236018009</v>
      </c>
      <c r="C940">
        <f t="shared" si="43"/>
        <v>206721534270794.66</v>
      </c>
      <c r="D940">
        <f t="shared" si="44"/>
        <v>206.72153427079465</v>
      </c>
      <c r="H940" s="9">
        <v>10866</v>
      </c>
    </row>
    <row r="941" spans="1:8">
      <c r="A941">
        <f t="shared" si="42"/>
        <v>1.4505514857428701E-6</v>
      </c>
      <c r="B941" s="9">
        <v>1.4505514857428701</v>
      </c>
      <c r="C941">
        <f t="shared" si="43"/>
        <v>206674806752183.28</v>
      </c>
      <c r="D941">
        <f t="shared" si="44"/>
        <v>206.67480675218329</v>
      </c>
      <c r="H941" s="9">
        <v>10866</v>
      </c>
    </row>
    <row r="942" spans="1:8">
      <c r="A942">
        <f t="shared" si="42"/>
        <v>1.4508793696848401E-6</v>
      </c>
      <c r="B942" s="9">
        <v>1.4508793696848401</v>
      </c>
      <c r="C942">
        <f t="shared" si="43"/>
        <v>206628100353457.28</v>
      </c>
      <c r="D942">
        <f t="shared" si="44"/>
        <v>206.62810035345728</v>
      </c>
      <c r="H942" s="9">
        <v>10866</v>
      </c>
    </row>
    <row r="943" spans="1:8">
      <c r="A943">
        <f t="shared" si="42"/>
        <v>1.45120725362681E-6</v>
      </c>
      <c r="B943" s="9">
        <v>1.4512072536268099</v>
      </c>
      <c r="C943">
        <f t="shared" si="43"/>
        <v>206581415060301.34</v>
      </c>
      <c r="D943">
        <f t="shared" si="44"/>
        <v>206.58141506030134</v>
      </c>
      <c r="H943" s="9">
        <v>10866</v>
      </c>
    </row>
    <row r="944" spans="1:8">
      <c r="A944">
        <f t="shared" si="42"/>
        <v>1.45153513756878E-6</v>
      </c>
      <c r="B944" s="9">
        <v>1.4515351375687799</v>
      </c>
      <c r="C944">
        <f t="shared" si="43"/>
        <v>206534750858412.84</v>
      </c>
      <c r="D944">
        <f t="shared" si="44"/>
        <v>206.53475085841285</v>
      </c>
      <c r="H944" s="9">
        <v>10866</v>
      </c>
    </row>
    <row r="945" spans="1:8">
      <c r="A945">
        <f t="shared" si="42"/>
        <v>1.4518630215107601E-6</v>
      </c>
      <c r="B945" s="9">
        <v>1.45186302151076</v>
      </c>
      <c r="C945">
        <f t="shared" si="43"/>
        <v>206488107733500.94</v>
      </c>
      <c r="D945">
        <f t="shared" si="44"/>
        <v>206.48810773350093</v>
      </c>
      <c r="H945" s="9">
        <v>10866</v>
      </c>
    </row>
    <row r="946" spans="1:8">
      <c r="A946">
        <f t="shared" si="42"/>
        <v>1.45219090545273E-6</v>
      </c>
      <c r="B946" s="9">
        <v>1.45219090545273</v>
      </c>
      <c r="C946">
        <f t="shared" si="43"/>
        <v>206441485671291.78</v>
      </c>
      <c r="D946">
        <f t="shared" si="44"/>
        <v>206.44148567129179</v>
      </c>
      <c r="H946" s="9">
        <v>10866</v>
      </c>
    </row>
    <row r="947" spans="1:8">
      <c r="A947">
        <f t="shared" si="42"/>
        <v>1.4525187893946999E-6</v>
      </c>
      <c r="B947" s="9">
        <v>1.4525187893947</v>
      </c>
      <c r="C947">
        <f t="shared" si="43"/>
        <v>206394884657520.22</v>
      </c>
      <c r="D947">
        <f t="shared" si="44"/>
        <v>206.39488465752021</v>
      </c>
      <c r="H947" s="9">
        <v>10866</v>
      </c>
    </row>
    <row r="948" spans="1:8">
      <c r="A948">
        <f t="shared" si="42"/>
        <v>1.4528466733366701E-6</v>
      </c>
      <c r="B948" s="9">
        <v>1.4528466733366701</v>
      </c>
      <c r="C948">
        <f t="shared" si="43"/>
        <v>206348304677935.34</v>
      </c>
      <c r="D948">
        <f t="shared" si="44"/>
        <v>206.34830467793535</v>
      </c>
      <c r="H948" s="9">
        <v>10866</v>
      </c>
    </row>
    <row r="949" spans="1:8">
      <c r="A949">
        <f t="shared" si="42"/>
        <v>1.45317455727864E-6</v>
      </c>
      <c r="B949" s="9">
        <v>1.4531745572786401</v>
      </c>
      <c r="C949">
        <f t="shared" si="43"/>
        <v>206301745718299.19</v>
      </c>
      <c r="D949">
        <f t="shared" si="44"/>
        <v>206.30174571829917</v>
      </c>
      <c r="H949" s="9">
        <v>10866</v>
      </c>
    </row>
    <row r="950" spans="1:8">
      <c r="A950">
        <f t="shared" si="42"/>
        <v>1.4535024412206099E-6</v>
      </c>
      <c r="B950" s="9">
        <v>1.4535024412206099</v>
      </c>
      <c r="C950">
        <f t="shared" si="43"/>
        <v>206255207764386.59</v>
      </c>
      <c r="D950">
        <f t="shared" si="44"/>
        <v>206.2552077643866</v>
      </c>
      <c r="H950" s="9">
        <v>10866</v>
      </c>
    </row>
    <row r="951" spans="1:8">
      <c r="A951">
        <f t="shared" si="42"/>
        <v>1.4538303251625799E-6</v>
      </c>
      <c r="B951" s="9">
        <v>1.4538303251625799</v>
      </c>
      <c r="C951">
        <f t="shared" si="43"/>
        <v>206208690801985.16</v>
      </c>
      <c r="D951">
        <f t="shared" si="44"/>
        <v>206.20869080198514</v>
      </c>
      <c r="H951" s="9">
        <v>10866</v>
      </c>
    </row>
    <row r="952" spans="1:8">
      <c r="A952">
        <f t="shared" si="42"/>
        <v>1.45415820910455E-6</v>
      </c>
      <c r="B952" s="9">
        <v>1.45415820910455</v>
      </c>
      <c r="C952">
        <f t="shared" si="43"/>
        <v>206162194816895.44</v>
      </c>
      <c r="D952">
        <f t="shared" si="44"/>
        <v>206.16219481689544</v>
      </c>
      <c r="H952" s="9">
        <v>10866</v>
      </c>
    </row>
    <row r="953" spans="1:8">
      <c r="A953">
        <f t="shared" si="42"/>
        <v>1.45448609304652E-6</v>
      </c>
      <c r="B953" s="9">
        <v>1.45448609304652</v>
      </c>
      <c r="C953">
        <f t="shared" si="43"/>
        <v>206115719794930.69</v>
      </c>
      <c r="D953">
        <f t="shared" si="44"/>
        <v>206.1157197949307</v>
      </c>
      <c r="H953" s="9">
        <v>10866</v>
      </c>
    </row>
    <row r="954" spans="1:8">
      <c r="A954">
        <f t="shared" si="42"/>
        <v>1.4548139769884901E-6</v>
      </c>
      <c r="B954" s="9">
        <v>1.45481397698849</v>
      </c>
      <c r="C954">
        <f t="shared" si="43"/>
        <v>206069265721917</v>
      </c>
      <c r="D954">
        <f t="shared" si="44"/>
        <v>206.06926572191699</v>
      </c>
      <c r="H954" s="9">
        <v>10866</v>
      </c>
    </row>
    <row r="955" spans="1:8">
      <c r="A955">
        <f t="shared" si="42"/>
        <v>1.45514186093047E-6</v>
      </c>
      <c r="B955" s="9">
        <v>1.45514186093047</v>
      </c>
      <c r="C955">
        <f t="shared" si="43"/>
        <v>206022832583691.81</v>
      </c>
      <c r="D955">
        <f t="shared" si="44"/>
        <v>206.02283258369181</v>
      </c>
      <c r="H955" s="9">
        <v>10866</v>
      </c>
    </row>
    <row r="956" spans="1:8">
      <c r="A956">
        <f t="shared" si="42"/>
        <v>1.4554697448724401E-6</v>
      </c>
      <c r="B956" s="9">
        <v>1.4554697448724401</v>
      </c>
      <c r="C956">
        <f t="shared" si="43"/>
        <v>205976420366109.59</v>
      </c>
      <c r="D956">
        <f t="shared" si="44"/>
        <v>205.97642036610961</v>
      </c>
      <c r="H956" s="9">
        <v>10866</v>
      </c>
    </row>
    <row r="957" spans="1:8">
      <c r="A957">
        <f t="shared" si="42"/>
        <v>1.4557976288144101E-6</v>
      </c>
      <c r="B957" s="9">
        <v>1.4557976288144101</v>
      </c>
      <c r="C957">
        <f t="shared" si="43"/>
        <v>205930029055033.25</v>
      </c>
      <c r="D957">
        <f t="shared" si="44"/>
        <v>205.93002905503326</v>
      </c>
      <c r="H957" s="9">
        <v>10866</v>
      </c>
    </row>
    <row r="958" spans="1:8">
      <c r="A958">
        <f t="shared" si="42"/>
        <v>1.45612551275638E-6</v>
      </c>
      <c r="B958" s="9">
        <v>1.4561255127563799</v>
      </c>
      <c r="C958">
        <f t="shared" si="43"/>
        <v>205883658636339.94</v>
      </c>
      <c r="D958">
        <f t="shared" si="44"/>
        <v>205.88365863633993</v>
      </c>
      <c r="H958" s="9">
        <v>10866</v>
      </c>
    </row>
    <row r="959" spans="1:8">
      <c r="A959">
        <f t="shared" si="42"/>
        <v>1.45645339669835E-6</v>
      </c>
      <c r="B959" s="9">
        <v>1.4564533966983499</v>
      </c>
      <c r="C959">
        <f t="shared" si="43"/>
        <v>205837309095919.41</v>
      </c>
      <c r="D959">
        <f t="shared" si="44"/>
        <v>205.83730909591941</v>
      </c>
      <c r="H959" s="9">
        <v>10866</v>
      </c>
    </row>
    <row r="960" spans="1:8">
      <c r="A960">
        <f t="shared" si="42"/>
        <v>1.4567812806403199E-6</v>
      </c>
      <c r="B960" s="9">
        <v>1.45678128064032</v>
      </c>
      <c r="C960">
        <f t="shared" si="43"/>
        <v>205790980419674.22</v>
      </c>
      <c r="D960">
        <f t="shared" si="44"/>
        <v>205.79098041967421</v>
      </c>
      <c r="H960" s="9">
        <v>10866</v>
      </c>
    </row>
    <row r="961" spans="1:8">
      <c r="A961">
        <f t="shared" si="42"/>
        <v>1.45710916458229E-6</v>
      </c>
      <c r="B961" s="9">
        <v>1.45710916458229</v>
      </c>
      <c r="C961">
        <f t="shared" si="43"/>
        <v>205744672593519.53</v>
      </c>
      <c r="D961">
        <f t="shared" si="44"/>
        <v>205.74467259351954</v>
      </c>
      <c r="H961" s="9">
        <v>10866</v>
      </c>
    </row>
    <row r="962" spans="1:8">
      <c r="A962">
        <f t="shared" si="42"/>
        <v>1.45743704852426E-6</v>
      </c>
      <c r="B962" s="9">
        <v>1.45743704852426</v>
      </c>
      <c r="C962">
        <f t="shared" si="43"/>
        <v>205698385603383.22</v>
      </c>
      <c r="D962">
        <f t="shared" si="44"/>
        <v>205.69838560338323</v>
      </c>
      <c r="H962" s="9">
        <v>10866</v>
      </c>
    </row>
    <row r="963" spans="1:8">
      <c r="A963">
        <f t="shared" si="42"/>
        <v>1.4577649324662301E-6</v>
      </c>
      <c r="B963" s="9">
        <v>1.4577649324662301</v>
      </c>
      <c r="C963">
        <f t="shared" si="43"/>
        <v>205652119435205.91</v>
      </c>
      <c r="D963">
        <f t="shared" si="44"/>
        <v>205.65211943520592</v>
      </c>
      <c r="H963" s="9">
        <v>10866</v>
      </c>
    </row>
    <row r="964" spans="1:8">
      <c r="A964">
        <f t="shared" si="42"/>
        <v>1.4580928164082001E-6</v>
      </c>
      <c r="B964" s="9">
        <v>1.4580928164082001</v>
      </c>
      <c r="C964">
        <f t="shared" si="43"/>
        <v>205605874074940.69</v>
      </c>
      <c r="D964">
        <f t="shared" si="44"/>
        <v>205.60587407494069</v>
      </c>
      <c r="H964" s="9">
        <v>10866</v>
      </c>
    </row>
    <row r="965" spans="1:8">
      <c r="A965">
        <f t="shared" si="42"/>
        <v>1.4584207003501799E-6</v>
      </c>
      <c r="B965" s="9">
        <v>1.4584207003501799</v>
      </c>
      <c r="C965">
        <f t="shared" si="43"/>
        <v>205559649508552.06</v>
      </c>
      <c r="D965">
        <f t="shared" si="44"/>
        <v>205.55964950855207</v>
      </c>
      <c r="H965" s="9">
        <v>10866</v>
      </c>
    </row>
    <row r="966" spans="1:8">
      <c r="A966">
        <f t="shared" si="42"/>
        <v>1.4587485842921499E-6</v>
      </c>
      <c r="B966" s="9">
        <v>1.4587485842921499</v>
      </c>
      <c r="C966">
        <f t="shared" si="43"/>
        <v>205513445722021.19</v>
      </c>
      <c r="D966">
        <f t="shared" si="44"/>
        <v>205.51344572202117</v>
      </c>
      <c r="H966" s="9">
        <v>10866</v>
      </c>
    </row>
    <row r="967" spans="1:8">
      <c r="A967">
        <f t="shared" ref="A967:A1030" si="45">B967/1000000</f>
        <v>1.45907646823412E-6</v>
      </c>
      <c r="B967" s="9">
        <v>1.45907646823412</v>
      </c>
      <c r="C967">
        <f t="shared" ref="C967:C1030" si="46">wavelength_to_freq(B967)</f>
        <v>205467262701337.75</v>
      </c>
      <c r="D967">
        <f t="shared" ref="D967:D1030" si="47">C967/1000000000000</f>
        <v>205.46726270133775</v>
      </c>
      <c r="H967" s="9">
        <v>10866</v>
      </c>
    </row>
    <row r="968" spans="1:8">
      <c r="A968">
        <f t="shared" si="45"/>
        <v>1.45940435217609E-6</v>
      </c>
      <c r="B968" s="9">
        <v>1.45940435217609</v>
      </c>
      <c r="C968">
        <f t="shared" si="46"/>
        <v>205421100432505.34</v>
      </c>
      <c r="D968">
        <f t="shared" si="47"/>
        <v>205.42110043250534</v>
      </c>
      <c r="H968" s="9">
        <v>10866</v>
      </c>
    </row>
    <row r="969" spans="1:8">
      <c r="A969">
        <f t="shared" si="45"/>
        <v>1.4597322361180601E-6</v>
      </c>
      <c r="B969" s="9">
        <v>1.45973223611806</v>
      </c>
      <c r="C969">
        <f t="shared" si="46"/>
        <v>205374958901540.22</v>
      </c>
      <c r="D969">
        <f t="shared" si="47"/>
        <v>205.37495890154023</v>
      </c>
      <c r="H969" s="9">
        <v>10866</v>
      </c>
    </row>
    <row r="970" spans="1:8">
      <c r="A970">
        <f t="shared" si="45"/>
        <v>1.46006012006003E-6</v>
      </c>
      <c r="B970" s="9">
        <v>1.4600601200600301</v>
      </c>
      <c r="C970">
        <f t="shared" si="46"/>
        <v>205328838094471.12</v>
      </c>
      <c r="D970">
        <f t="shared" si="47"/>
        <v>205.32883809447114</v>
      </c>
      <c r="H970" s="9">
        <v>10866</v>
      </c>
    </row>
    <row r="971" spans="1:8">
      <c r="A971">
        <f t="shared" si="45"/>
        <v>1.460388004002E-6</v>
      </c>
      <c r="B971" s="9">
        <v>1.4603880040020001</v>
      </c>
      <c r="C971">
        <f t="shared" si="46"/>
        <v>205282737997339.37</v>
      </c>
      <c r="D971">
        <f t="shared" si="47"/>
        <v>205.28273799733938</v>
      </c>
      <c r="H971" s="9">
        <v>10866</v>
      </c>
    </row>
    <row r="972" spans="1:8">
      <c r="A972">
        <f t="shared" si="45"/>
        <v>1.4607158879439699E-6</v>
      </c>
      <c r="B972" s="9">
        <v>1.4607158879439699</v>
      </c>
      <c r="C972">
        <f t="shared" si="46"/>
        <v>205236658596198.84</v>
      </c>
      <c r="D972">
        <f t="shared" si="47"/>
        <v>205.23665859619885</v>
      </c>
      <c r="H972" s="9">
        <v>10866</v>
      </c>
    </row>
    <row r="973" spans="1:8">
      <c r="A973">
        <f t="shared" si="45"/>
        <v>1.4610437718859399E-6</v>
      </c>
      <c r="B973" s="9">
        <v>1.4610437718859399</v>
      </c>
      <c r="C973">
        <f t="shared" si="46"/>
        <v>205190599877115.84</v>
      </c>
      <c r="D973">
        <f t="shared" si="47"/>
        <v>205.19059987711586</v>
      </c>
      <c r="H973" s="9">
        <v>10866</v>
      </c>
    </row>
    <row r="974" spans="1:8">
      <c r="A974">
        <f t="shared" si="45"/>
        <v>1.46137165582791E-6</v>
      </c>
      <c r="B974" s="9">
        <v>1.46137165582791</v>
      </c>
      <c r="C974">
        <f t="shared" si="46"/>
        <v>205144561826169.25</v>
      </c>
      <c r="D974">
        <f t="shared" si="47"/>
        <v>205.14456182616925</v>
      </c>
      <c r="H974" s="9">
        <v>10866</v>
      </c>
    </row>
    <row r="975" spans="1:8">
      <c r="A975">
        <f t="shared" si="45"/>
        <v>1.4616995397698799E-6</v>
      </c>
      <c r="B975" s="9">
        <v>1.46169953976988</v>
      </c>
      <c r="C975">
        <f t="shared" si="46"/>
        <v>205098544429450.44</v>
      </c>
      <c r="D975">
        <f t="shared" si="47"/>
        <v>205.09854442945044</v>
      </c>
      <c r="H975" s="9">
        <v>10866</v>
      </c>
    </row>
    <row r="976" spans="1:8">
      <c r="A976">
        <f t="shared" si="45"/>
        <v>1.46202742371186E-6</v>
      </c>
      <c r="B976" s="9">
        <v>1.46202742371186</v>
      </c>
      <c r="C976">
        <f t="shared" si="46"/>
        <v>205052547673061.87</v>
      </c>
      <c r="D976">
        <f t="shared" si="47"/>
        <v>205.05254767306187</v>
      </c>
      <c r="H976" s="9">
        <v>10866</v>
      </c>
    </row>
    <row r="977" spans="1:8">
      <c r="A977">
        <f t="shared" si="45"/>
        <v>1.46235530765383E-6</v>
      </c>
      <c r="B977" s="9">
        <v>1.46235530765383</v>
      </c>
      <c r="C977">
        <f t="shared" si="46"/>
        <v>205006571543122.62</v>
      </c>
      <c r="D977">
        <f t="shared" si="47"/>
        <v>205.00657154312262</v>
      </c>
      <c r="H977" s="9">
        <v>10866</v>
      </c>
    </row>
    <row r="978" spans="1:8">
      <c r="A978">
        <f t="shared" si="45"/>
        <v>1.4626831915958001E-6</v>
      </c>
      <c r="B978" s="9">
        <v>1.4626831915958001</v>
      </c>
      <c r="C978">
        <f t="shared" si="46"/>
        <v>204960616025760.06</v>
      </c>
      <c r="D978">
        <f t="shared" si="47"/>
        <v>204.96061602576006</v>
      </c>
      <c r="H978" s="9">
        <v>10866</v>
      </c>
    </row>
    <row r="979" spans="1:8">
      <c r="A979">
        <f t="shared" si="45"/>
        <v>1.4630110755377701E-6</v>
      </c>
      <c r="B979" s="9">
        <v>1.4630110755377701</v>
      </c>
      <c r="C979">
        <f t="shared" si="46"/>
        <v>204914681107115.34</v>
      </c>
      <c r="D979">
        <f t="shared" si="47"/>
        <v>204.91468110711534</v>
      </c>
      <c r="H979" s="9">
        <v>10866</v>
      </c>
    </row>
    <row r="980" spans="1:8">
      <c r="A980">
        <f t="shared" si="45"/>
        <v>1.46333895947974E-6</v>
      </c>
      <c r="B980" s="9">
        <v>1.4633389594797399</v>
      </c>
      <c r="C980">
        <f t="shared" si="46"/>
        <v>204868766773342.12</v>
      </c>
      <c r="D980">
        <f t="shared" si="47"/>
        <v>204.86876677334212</v>
      </c>
      <c r="H980" s="9">
        <v>10866</v>
      </c>
    </row>
    <row r="981" spans="1:8">
      <c r="A981">
        <f t="shared" si="45"/>
        <v>1.4636668434217099E-6</v>
      </c>
      <c r="B981" s="9">
        <v>1.4636668434217099</v>
      </c>
      <c r="C981">
        <f t="shared" si="46"/>
        <v>204822873010606.37</v>
      </c>
      <c r="D981">
        <f t="shared" si="47"/>
        <v>204.82287301060637</v>
      </c>
      <c r="H981" s="9">
        <v>10866</v>
      </c>
    </row>
    <row r="982" spans="1:8">
      <c r="A982">
        <f t="shared" si="45"/>
        <v>1.4639947273636801E-6</v>
      </c>
      <c r="B982" s="9">
        <v>1.46399472736368</v>
      </c>
      <c r="C982">
        <f t="shared" si="46"/>
        <v>204776999805086.53</v>
      </c>
      <c r="D982">
        <f t="shared" si="47"/>
        <v>204.77699980508652</v>
      </c>
      <c r="H982" s="9">
        <v>10866</v>
      </c>
    </row>
    <row r="983" spans="1:8">
      <c r="A983">
        <f t="shared" si="45"/>
        <v>1.46432261130565E-6</v>
      </c>
      <c r="B983" s="9">
        <v>1.46432261130565</v>
      </c>
      <c r="C983">
        <f t="shared" si="46"/>
        <v>204731147142973.34</v>
      </c>
      <c r="D983">
        <f t="shared" si="47"/>
        <v>204.73114714297336</v>
      </c>
      <c r="H983" s="9">
        <v>10866</v>
      </c>
    </row>
    <row r="984" spans="1:8">
      <c r="A984">
        <f t="shared" si="45"/>
        <v>1.4646504952476199E-6</v>
      </c>
      <c r="B984" s="9">
        <v>1.46465049524762</v>
      </c>
      <c r="C984">
        <f t="shared" si="46"/>
        <v>204685315010470</v>
      </c>
      <c r="D984">
        <f t="shared" si="47"/>
        <v>204.68531501046999</v>
      </c>
      <c r="H984" s="9">
        <v>10866</v>
      </c>
    </row>
    <row r="985" spans="1:8">
      <c r="A985">
        <f t="shared" si="45"/>
        <v>1.4649783791895901E-6</v>
      </c>
      <c r="B985" s="9">
        <v>1.4649783791895901</v>
      </c>
      <c r="C985">
        <f t="shared" si="46"/>
        <v>204639503393792</v>
      </c>
      <c r="D985">
        <f t="shared" si="47"/>
        <v>204.63950339379201</v>
      </c>
      <c r="H985" s="9">
        <v>10866</v>
      </c>
    </row>
    <row r="986" spans="1:8">
      <c r="A986">
        <f t="shared" si="45"/>
        <v>1.4653062631315702E-6</v>
      </c>
      <c r="B986" s="9">
        <v>1.4653062631315701</v>
      </c>
      <c r="C986">
        <f t="shared" si="46"/>
        <v>204593712279165.75</v>
      </c>
      <c r="D986">
        <f t="shared" si="47"/>
        <v>204.59371227916574</v>
      </c>
      <c r="H986" s="9">
        <v>10866</v>
      </c>
    </row>
    <row r="987" spans="1:8">
      <c r="A987">
        <f t="shared" si="45"/>
        <v>1.4656341470735399E-6</v>
      </c>
      <c r="B987" s="9">
        <v>1.4656341470735399</v>
      </c>
      <c r="C987">
        <f t="shared" si="46"/>
        <v>204547941652834.31</v>
      </c>
      <c r="D987">
        <f t="shared" si="47"/>
        <v>204.54794165283431</v>
      </c>
      <c r="H987" s="9">
        <v>10866</v>
      </c>
    </row>
    <row r="988" spans="1:8">
      <c r="A988">
        <f t="shared" si="45"/>
        <v>1.4659620310155098E-6</v>
      </c>
      <c r="B988" s="9">
        <v>1.4659620310155099</v>
      </c>
      <c r="C988">
        <f t="shared" si="46"/>
        <v>204502191501048.62</v>
      </c>
      <c r="D988">
        <f t="shared" si="47"/>
        <v>204.50219150104863</v>
      </c>
      <c r="H988" s="9">
        <v>10866</v>
      </c>
    </row>
    <row r="989" spans="1:8">
      <c r="A989">
        <f t="shared" si="45"/>
        <v>1.46628991495748E-6</v>
      </c>
      <c r="B989" s="9">
        <v>1.46628991495748</v>
      </c>
      <c r="C989">
        <f t="shared" si="46"/>
        <v>204456461810073.56</v>
      </c>
      <c r="D989">
        <f t="shared" si="47"/>
        <v>204.45646181007356</v>
      </c>
      <c r="H989" s="9">
        <v>10866</v>
      </c>
    </row>
    <row r="990" spans="1:8">
      <c r="A990">
        <f t="shared" si="45"/>
        <v>1.4666177988994499E-6</v>
      </c>
      <c r="B990" s="9">
        <v>1.46661779889945</v>
      </c>
      <c r="C990">
        <f t="shared" si="46"/>
        <v>204410752566186.12</v>
      </c>
      <c r="D990">
        <f t="shared" si="47"/>
        <v>204.41075256618612</v>
      </c>
      <c r="H990" s="9">
        <v>10866</v>
      </c>
    </row>
    <row r="991" spans="1:8">
      <c r="A991">
        <f t="shared" si="45"/>
        <v>1.4669456828414201E-6</v>
      </c>
      <c r="B991" s="9">
        <v>1.46694568284142</v>
      </c>
      <c r="C991">
        <f t="shared" si="46"/>
        <v>204365063755675.69</v>
      </c>
      <c r="D991">
        <f t="shared" si="47"/>
        <v>204.36506375567569</v>
      </c>
      <c r="H991" s="9">
        <v>10866</v>
      </c>
    </row>
    <row r="992" spans="1:8">
      <c r="A992">
        <f t="shared" si="45"/>
        <v>1.46727356678339E-6</v>
      </c>
      <c r="B992" s="9">
        <v>1.46727356678339</v>
      </c>
      <c r="C992">
        <f t="shared" si="46"/>
        <v>204319395364843.78</v>
      </c>
      <c r="D992">
        <f t="shared" si="47"/>
        <v>204.31939536484379</v>
      </c>
      <c r="H992" s="9">
        <v>10866</v>
      </c>
    </row>
    <row r="993" spans="1:8">
      <c r="A993">
        <f t="shared" si="45"/>
        <v>1.4676014507253602E-6</v>
      </c>
      <c r="B993" s="9">
        <v>1.4676014507253601</v>
      </c>
      <c r="C993">
        <f t="shared" si="46"/>
        <v>204273747380004.28</v>
      </c>
      <c r="D993">
        <f t="shared" si="47"/>
        <v>204.27374738000429</v>
      </c>
      <c r="H993" s="9">
        <v>10866</v>
      </c>
    </row>
    <row r="994" spans="1:8">
      <c r="A994">
        <f t="shared" si="45"/>
        <v>1.4679293346673301E-6</v>
      </c>
      <c r="B994" s="9">
        <v>1.4679293346673301</v>
      </c>
      <c r="C994">
        <f t="shared" si="46"/>
        <v>204228119787483.19</v>
      </c>
      <c r="D994">
        <f t="shared" si="47"/>
        <v>204.22811978748319</v>
      </c>
      <c r="H994" s="9">
        <v>10866</v>
      </c>
    </row>
    <row r="995" spans="1:8">
      <c r="A995">
        <f t="shared" si="45"/>
        <v>1.4682572186092998E-6</v>
      </c>
      <c r="B995" s="9">
        <v>1.4682572186092999</v>
      </c>
      <c r="C995">
        <f t="shared" si="46"/>
        <v>204182512573618.84</v>
      </c>
      <c r="D995">
        <f t="shared" si="47"/>
        <v>204.18251257361885</v>
      </c>
      <c r="H995" s="9">
        <v>10866</v>
      </c>
    </row>
    <row r="996" spans="1:8">
      <c r="A996">
        <f t="shared" si="45"/>
        <v>1.4685851025512799E-6</v>
      </c>
      <c r="B996" s="9">
        <v>1.4685851025512799</v>
      </c>
      <c r="C996">
        <f t="shared" si="46"/>
        <v>204136925724760.22</v>
      </c>
      <c r="D996">
        <f t="shared" si="47"/>
        <v>204.13692572476023</v>
      </c>
      <c r="H996" s="9">
        <v>10866</v>
      </c>
    </row>
    <row r="997" spans="1:8">
      <c r="A997">
        <f t="shared" si="45"/>
        <v>1.4689129864932501E-6</v>
      </c>
      <c r="B997" s="9">
        <v>1.46891298649325</v>
      </c>
      <c r="C997">
        <f t="shared" si="46"/>
        <v>204091359227272.81</v>
      </c>
      <c r="D997">
        <f t="shared" si="47"/>
        <v>204.09135922727282</v>
      </c>
      <c r="H997" s="9">
        <v>10866</v>
      </c>
    </row>
    <row r="998" spans="1:8">
      <c r="A998">
        <f t="shared" si="45"/>
        <v>1.46924087043522E-6</v>
      </c>
      <c r="B998" s="9">
        <v>1.46924087043522</v>
      </c>
      <c r="C998">
        <f t="shared" si="46"/>
        <v>204045813067530.03</v>
      </c>
      <c r="D998">
        <f t="shared" si="47"/>
        <v>204.04581306753002</v>
      </c>
      <c r="H998" s="9">
        <v>10866</v>
      </c>
    </row>
    <row r="999" spans="1:8">
      <c r="A999">
        <f t="shared" si="45"/>
        <v>1.4695687543771899E-6</v>
      </c>
      <c r="B999" s="9">
        <v>1.46956875437719</v>
      </c>
      <c r="C999">
        <f t="shared" si="46"/>
        <v>204000287231918.87</v>
      </c>
      <c r="D999">
        <f t="shared" si="47"/>
        <v>204.00028723191886</v>
      </c>
      <c r="H999" s="9">
        <v>10866</v>
      </c>
    </row>
    <row r="1000" spans="1:8">
      <c r="A1000">
        <f t="shared" si="45"/>
        <v>1.4698966383191601E-6</v>
      </c>
      <c r="B1000" s="9">
        <v>1.4698966383191601</v>
      </c>
      <c r="C1000">
        <f t="shared" si="46"/>
        <v>203954781706838.47</v>
      </c>
      <c r="D1000">
        <f t="shared" si="47"/>
        <v>203.95478170683847</v>
      </c>
      <c r="H1000" s="9">
        <v>10866</v>
      </c>
    </row>
    <row r="1001" spans="1:8">
      <c r="A1001">
        <f t="shared" si="45"/>
        <v>1.47022452226113E-6</v>
      </c>
      <c r="B1001" s="9">
        <v>1.4702245222611301</v>
      </c>
      <c r="C1001">
        <f t="shared" si="46"/>
        <v>203909296478700.09</v>
      </c>
      <c r="D1001">
        <f t="shared" si="47"/>
        <v>203.9092964787001</v>
      </c>
      <c r="H1001" s="9">
        <v>10866</v>
      </c>
    </row>
    <row r="1002" spans="1:8">
      <c r="A1002">
        <f t="shared" si="45"/>
        <v>1.4705524062031E-6</v>
      </c>
      <c r="B1002" s="9">
        <v>1.4705524062030999</v>
      </c>
      <c r="C1002">
        <f t="shared" si="46"/>
        <v>203863831533927.19</v>
      </c>
      <c r="D1002">
        <f t="shared" si="47"/>
        <v>203.8638315339272</v>
      </c>
      <c r="H1002" s="9">
        <v>10866</v>
      </c>
    </row>
    <row r="1003" spans="1:8">
      <c r="A1003">
        <f t="shared" si="45"/>
        <v>1.4708802901450699E-6</v>
      </c>
      <c r="B1003" s="9">
        <v>1.4708802901450699</v>
      </c>
      <c r="C1003">
        <f t="shared" si="46"/>
        <v>203818386858955.09</v>
      </c>
      <c r="D1003">
        <f t="shared" si="47"/>
        <v>203.81838685895508</v>
      </c>
      <c r="H1003" s="9">
        <v>10866</v>
      </c>
    </row>
    <row r="1004" spans="1:8">
      <c r="A1004">
        <f t="shared" si="45"/>
        <v>1.47120817408704E-6</v>
      </c>
      <c r="B1004" s="9">
        <v>1.47120817408704</v>
      </c>
      <c r="C1004">
        <f t="shared" si="46"/>
        <v>203772962440231.53</v>
      </c>
      <c r="D1004">
        <f t="shared" si="47"/>
        <v>203.77296244023154</v>
      </c>
      <c r="H1004" s="9">
        <v>10866</v>
      </c>
    </row>
    <row r="1005" spans="1:8">
      <c r="A1005">
        <f t="shared" si="45"/>
        <v>1.47153605802901E-6</v>
      </c>
      <c r="B1005" s="9">
        <v>1.47153605802901</v>
      </c>
      <c r="C1005">
        <f t="shared" si="46"/>
        <v>203727558264216.09</v>
      </c>
      <c r="D1005">
        <f t="shared" si="47"/>
        <v>203.7275582642161</v>
      </c>
      <c r="H1005" s="9">
        <v>10866</v>
      </c>
    </row>
    <row r="1006" spans="1:8">
      <c r="A1006">
        <f t="shared" si="45"/>
        <v>1.4718639419709901E-6</v>
      </c>
      <c r="B1006" s="9">
        <v>1.47186394197099</v>
      </c>
      <c r="C1006">
        <f t="shared" si="46"/>
        <v>203682174317379.12</v>
      </c>
      <c r="D1006">
        <f t="shared" si="47"/>
        <v>203.68217431737912</v>
      </c>
      <c r="H1006" s="9">
        <v>10866</v>
      </c>
    </row>
    <row r="1007" spans="1:8">
      <c r="A1007">
        <f t="shared" si="45"/>
        <v>1.47219182591296E-6</v>
      </c>
      <c r="B1007" s="9">
        <v>1.4721918259129601</v>
      </c>
      <c r="C1007">
        <f t="shared" si="46"/>
        <v>203636810586207.22</v>
      </c>
      <c r="D1007">
        <f t="shared" si="47"/>
        <v>203.63681058620722</v>
      </c>
      <c r="H1007" s="9">
        <v>10866</v>
      </c>
    </row>
    <row r="1008" spans="1:8">
      <c r="A1008">
        <f t="shared" si="45"/>
        <v>1.4725197098549302E-6</v>
      </c>
      <c r="B1008" s="9">
        <v>1.4725197098549301</v>
      </c>
      <c r="C1008">
        <f t="shared" si="46"/>
        <v>203591467057194.78</v>
      </c>
      <c r="D1008">
        <f t="shared" si="47"/>
        <v>203.59146705719479</v>
      </c>
      <c r="H1008" s="9">
        <v>10866</v>
      </c>
    </row>
    <row r="1009" spans="1:8">
      <c r="A1009">
        <f t="shared" si="45"/>
        <v>1.4728475937968999E-6</v>
      </c>
      <c r="B1009" s="9">
        <v>1.4728475937968999</v>
      </c>
      <c r="C1009">
        <f t="shared" si="46"/>
        <v>203546143716849.66</v>
      </c>
      <c r="D1009">
        <f t="shared" si="47"/>
        <v>203.54614371684966</v>
      </c>
      <c r="H1009" s="9">
        <v>10866</v>
      </c>
    </row>
    <row r="1010" spans="1:8">
      <c r="A1010">
        <f t="shared" si="45"/>
        <v>1.4731754777388698E-6</v>
      </c>
      <c r="B1010" s="9">
        <v>1.4731754777388699</v>
      </c>
      <c r="C1010">
        <f t="shared" si="46"/>
        <v>203500840551691.69</v>
      </c>
      <c r="D1010">
        <f t="shared" si="47"/>
        <v>203.50084055169168</v>
      </c>
      <c r="H1010" s="9">
        <v>10866</v>
      </c>
    </row>
    <row r="1011" spans="1:8">
      <c r="A1011">
        <f t="shared" si="45"/>
        <v>1.47350336168084E-6</v>
      </c>
      <c r="B1011" s="9">
        <v>1.47350336168084</v>
      </c>
      <c r="C1011">
        <f t="shared" si="46"/>
        <v>203455557548252.75</v>
      </c>
      <c r="D1011">
        <f t="shared" si="47"/>
        <v>203.45555754825276</v>
      </c>
      <c r="H1011" s="9">
        <v>10866</v>
      </c>
    </row>
    <row r="1012" spans="1:8">
      <c r="A1012">
        <f t="shared" si="45"/>
        <v>1.4738312456228099E-6</v>
      </c>
      <c r="B1012" s="9">
        <v>1.47383124562281</v>
      </c>
      <c r="C1012">
        <f t="shared" si="46"/>
        <v>203410294693076.62</v>
      </c>
      <c r="D1012">
        <f t="shared" si="47"/>
        <v>203.41029469307662</v>
      </c>
      <c r="H1012" s="9">
        <v>10866</v>
      </c>
    </row>
    <row r="1013" spans="1:8">
      <c r="A1013">
        <f t="shared" si="45"/>
        <v>1.4741591295647801E-6</v>
      </c>
      <c r="B1013" s="9">
        <v>1.47415912956478</v>
      </c>
      <c r="C1013">
        <f t="shared" si="46"/>
        <v>203365051972719.22</v>
      </c>
      <c r="D1013">
        <f t="shared" si="47"/>
        <v>203.36505197271921</v>
      </c>
      <c r="H1013" s="9">
        <v>10866</v>
      </c>
    </row>
    <row r="1014" spans="1:8">
      <c r="A1014">
        <f t="shared" si="45"/>
        <v>1.47448701350675E-6</v>
      </c>
      <c r="B1014" s="9">
        <v>1.47448701350675</v>
      </c>
      <c r="C1014">
        <f t="shared" si="46"/>
        <v>203319829373748.22</v>
      </c>
      <c r="D1014">
        <f t="shared" si="47"/>
        <v>203.31982937374821</v>
      </c>
      <c r="H1014" s="9">
        <v>10866</v>
      </c>
    </row>
    <row r="1015" spans="1:8">
      <c r="A1015">
        <f t="shared" si="45"/>
        <v>1.4748148974487201E-6</v>
      </c>
      <c r="B1015" s="9">
        <v>1.4748148974487201</v>
      </c>
      <c r="C1015">
        <f t="shared" si="46"/>
        <v>203274626882743.37</v>
      </c>
      <c r="D1015">
        <f t="shared" si="47"/>
        <v>203.27462688274338</v>
      </c>
      <c r="H1015" s="9">
        <v>10866</v>
      </c>
    </row>
    <row r="1016" spans="1:8">
      <c r="A1016">
        <f t="shared" si="45"/>
        <v>1.4751427813907E-6</v>
      </c>
      <c r="B1016" s="9">
        <v>1.4751427813907001</v>
      </c>
      <c r="C1016">
        <f t="shared" si="46"/>
        <v>203229444486294.94</v>
      </c>
      <c r="D1016">
        <f t="shared" si="47"/>
        <v>203.22944448629494</v>
      </c>
      <c r="H1016" s="9">
        <v>10866</v>
      </c>
    </row>
    <row r="1017" spans="1:8">
      <c r="A1017">
        <f t="shared" si="45"/>
        <v>1.47547066533267E-6</v>
      </c>
      <c r="B1017" s="9">
        <v>1.4754706653326699</v>
      </c>
      <c r="C1017">
        <f t="shared" si="46"/>
        <v>203184282171009.28</v>
      </c>
      <c r="D1017">
        <f t="shared" si="47"/>
        <v>203.18428217100927</v>
      </c>
      <c r="H1017" s="9">
        <v>10866</v>
      </c>
    </row>
    <row r="1018" spans="1:8">
      <c r="A1018">
        <f t="shared" si="45"/>
        <v>1.4757985492746399E-6</v>
      </c>
      <c r="B1018" s="9">
        <v>1.4757985492746399</v>
      </c>
      <c r="C1018">
        <f t="shared" si="46"/>
        <v>203139139923500.41</v>
      </c>
      <c r="D1018">
        <f t="shared" si="47"/>
        <v>203.13913992350041</v>
      </c>
      <c r="H1018" s="9">
        <v>10866</v>
      </c>
    </row>
    <row r="1019" spans="1:8">
      <c r="A1019">
        <f t="shared" si="45"/>
        <v>1.47612643321661E-6</v>
      </c>
      <c r="B1019" s="9">
        <v>1.47612643321661</v>
      </c>
      <c r="C1019">
        <f t="shared" si="46"/>
        <v>203094017730395.75</v>
      </c>
      <c r="D1019">
        <f t="shared" si="47"/>
        <v>203.09401773039576</v>
      </c>
      <c r="H1019" s="9">
        <v>10866</v>
      </c>
    </row>
    <row r="1020" spans="1:8">
      <c r="A1020">
        <f t="shared" si="45"/>
        <v>1.47645431715858E-6</v>
      </c>
      <c r="B1020" s="9">
        <v>1.47645431715858</v>
      </c>
      <c r="C1020">
        <f t="shared" si="46"/>
        <v>203048915578334.5</v>
      </c>
      <c r="D1020">
        <f t="shared" si="47"/>
        <v>203.04891557833449</v>
      </c>
      <c r="H1020" s="9">
        <v>10866</v>
      </c>
    </row>
    <row r="1021" spans="1:8">
      <c r="A1021">
        <f t="shared" si="45"/>
        <v>1.4767822011005501E-6</v>
      </c>
      <c r="B1021" s="9">
        <v>1.47678220110055</v>
      </c>
      <c r="C1021">
        <f t="shared" si="46"/>
        <v>203003833453967.78</v>
      </c>
      <c r="D1021">
        <f t="shared" si="47"/>
        <v>203.00383345396779</v>
      </c>
      <c r="H1021" s="9">
        <v>10866</v>
      </c>
    </row>
    <row r="1022" spans="1:8">
      <c r="A1022">
        <f t="shared" si="45"/>
        <v>1.4771100850425201E-6</v>
      </c>
      <c r="B1022" s="9">
        <v>1.4771100850425201</v>
      </c>
      <c r="C1022">
        <f t="shared" si="46"/>
        <v>202958771343958.56</v>
      </c>
      <c r="D1022">
        <f t="shared" si="47"/>
        <v>202.95877134395857</v>
      </c>
      <c r="H1022" s="9">
        <v>10866</v>
      </c>
    </row>
    <row r="1023" spans="1:8">
      <c r="A1023">
        <f t="shared" si="45"/>
        <v>1.47743796898449E-6</v>
      </c>
      <c r="B1023" s="9">
        <v>1.4774379689844901</v>
      </c>
      <c r="C1023">
        <f t="shared" si="46"/>
        <v>202913729234981.62</v>
      </c>
      <c r="D1023">
        <f t="shared" si="47"/>
        <v>202.91372923498162</v>
      </c>
      <c r="H1023" s="9">
        <v>10866</v>
      </c>
    </row>
    <row r="1024" spans="1:8">
      <c r="A1024">
        <f t="shared" si="45"/>
        <v>1.4777658529264599E-6</v>
      </c>
      <c r="B1024" s="9">
        <v>1.4777658529264599</v>
      </c>
      <c r="C1024">
        <f t="shared" si="46"/>
        <v>202868707113723.66</v>
      </c>
      <c r="D1024">
        <f t="shared" si="47"/>
        <v>202.86870711372364</v>
      </c>
      <c r="H1024" s="9">
        <v>10866</v>
      </c>
    </row>
    <row r="1025" spans="1:8">
      <c r="A1025">
        <f t="shared" si="45"/>
        <v>1.4780937368684299E-6</v>
      </c>
      <c r="B1025" s="9">
        <v>1.4780937368684299</v>
      </c>
      <c r="C1025">
        <f t="shared" si="46"/>
        <v>202823704966882.97</v>
      </c>
      <c r="D1025">
        <f t="shared" si="47"/>
        <v>202.82370496688296</v>
      </c>
      <c r="H1025" s="9">
        <v>10866</v>
      </c>
    </row>
    <row r="1026" spans="1:8">
      <c r="A1026">
        <f t="shared" si="45"/>
        <v>1.47842162081041E-6</v>
      </c>
      <c r="B1026" s="9">
        <v>1.47842162081041</v>
      </c>
      <c r="C1026">
        <f t="shared" si="46"/>
        <v>202778722781168.53</v>
      </c>
      <c r="D1026">
        <f t="shared" si="47"/>
        <v>202.77872278116854</v>
      </c>
      <c r="H1026" s="9">
        <v>10866</v>
      </c>
    </row>
    <row r="1027" spans="1:8">
      <c r="A1027">
        <f t="shared" si="45"/>
        <v>1.4787495047523799E-6</v>
      </c>
      <c r="B1027" s="9">
        <v>1.47874950475238</v>
      </c>
      <c r="C1027">
        <f t="shared" si="46"/>
        <v>202733760543305.09</v>
      </c>
      <c r="D1027">
        <f t="shared" si="47"/>
        <v>202.7337605433051</v>
      </c>
      <c r="H1027" s="9">
        <v>10866</v>
      </c>
    </row>
    <row r="1028" spans="1:8">
      <c r="A1028">
        <f t="shared" si="45"/>
        <v>1.4790773886943501E-6</v>
      </c>
      <c r="B1028" s="9">
        <v>1.47907738869435</v>
      </c>
      <c r="C1028">
        <f t="shared" si="46"/>
        <v>202688818240025.06</v>
      </c>
      <c r="D1028">
        <f t="shared" si="47"/>
        <v>202.68881824002506</v>
      </c>
      <c r="H1028" s="9">
        <v>10866</v>
      </c>
    </row>
    <row r="1029" spans="1:8">
      <c r="A1029">
        <f t="shared" si="45"/>
        <v>1.47940527263632E-6</v>
      </c>
      <c r="B1029" s="9">
        <v>1.47940527263632</v>
      </c>
      <c r="C1029">
        <f t="shared" si="46"/>
        <v>202643895858074</v>
      </c>
      <c r="D1029">
        <f t="shared" si="47"/>
        <v>202.64389585807399</v>
      </c>
      <c r="H1029" s="9">
        <v>10866</v>
      </c>
    </row>
    <row r="1030" spans="1:8">
      <c r="A1030">
        <f t="shared" si="45"/>
        <v>1.4797331565782901E-6</v>
      </c>
      <c r="B1030" s="9">
        <v>1.4797331565782901</v>
      </c>
      <c r="C1030">
        <f t="shared" si="46"/>
        <v>202598993384209.22</v>
      </c>
      <c r="D1030">
        <f t="shared" si="47"/>
        <v>202.59899338420922</v>
      </c>
      <c r="H1030" s="9">
        <v>10866</v>
      </c>
    </row>
    <row r="1031" spans="1:8">
      <c r="A1031">
        <f t="shared" ref="A1031:A1094" si="48">B1031/1000000</f>
        <v>1.4800610405202601E-6</v>
      </c>
      <c r="B1031" s="9">
        <v>1.4800610405202601</v>
      </c>
      <c r="C1031">
        <f t="shared" ref="C1031:C1094" si="49">wavelength_to_freq(B1031)</f>
        <v>202554110805199.75</v>
      </c>
      <c r="D1031">
        <f t="shared" ref="D1031:D1094" si="50">C1031/1000000000000</f>
        <v>202.55411080519974</v>
      </c>
      <c r="H1031" s="9">
        <v>10866</v>
      </c>
    </row>
    <row r="1032" spans="1:8">
      <c r="A1032">
        <f t="shared" si="48"/>
        <v>1.48038892446223E-6</v>
      </c>
      <c r="B1032" s="9">
        <v>1.4803889244622299</v>
      </c>
      <c r="C1032">
        <f t="shared" si="49"/>
        <v>202509248107826.41</v>
      </c>
      <c r="D1032">
        <f t="shared" si="50"/>
        <v>202.50924810782641</v>
      </c>
      <c r="H1032" s="9">
        <v>10866</v>
      </c>
    </row>
    <row r="1033" spans="1:8">
      <c r="A1033">
        <f t="shared" si="48"/>
        <v>1.4807168084041999E-6</v>
      </c>
      <c r="B1033" s="9">
        <v>1.4807168084041999</v>
      </c>
      <c r="C1033">
        <f t="shared" si="49"/>
        <v>202464405278881.59</v>
      </c>
      <c r="D1033">
        <f t="shared" si="50"/>
        <v>202.4644052788816</v>
      </c>
      <c r="H1033" s="9">
        <v>10866</v>
      </c>
    </row>
    <row r="1034" spans="1:8">
      <c r="A1034">
        <f t="shared" si="48"/>
        <v>1.4810446923461699E-6</v>
      </c>
      <c r="B1034" s="9">
        <v>1.48104469234617</v>
      </c>
      <c r="C1034">
        <f t="shared" si="49"/>
        <v>202419582305169.5</v>
      </c>
      <c r="D1034">
        <f t="shared" si="50"/>
        <v>202.41958230516951</v>
      </c>
      <c r="H1034" s="9">
        <v>10866</v>
      </c>
    </row>
    <row r="1035" spans="1:8">
      <c r="A1035">
        <f t="shared" si="48"/>
        <v>1.48137257628814E-6</v>
      </c>
      <c r="B1035" s="9">
        <v>1.48137257628814</v>
      </c>
      <c r="C1035">
        <f t="shared" si="49"/>
        <v>202374779173506</v>
      </c>
      <c r="D1035">
        <f t="shared" si="50"/>
        <v>202.374779173506</v>
      </c>
      <c r="H1035" s="9">
        <v>10866</v>
      </c>
    </row>
    <row r="1036" spans="1:8">
      <c r="A1036">
        <f t="shared" si="48"/>
        <v>1.48170046023011E-6</v>
      </c>
      <c r="B1036" s="9">
        <v>1.48170046023011</v>
      </c>
      <c r="C1036">
        <f t="shared" si="49"/>
        <v>202329995870718.59</v>
      </c>
      <c r="D1036">
        <f t="shared" si="50"/>
        <v>202.32999587071859</v>
      </c>
      <c r="H1036" s="9">
        <v>10866</v>
      </c>
    </row>
    <row r="1037" spans="1:8">
      <c r="A1037">
        <f t="shared" si="48"/>
        <v>1.4820283441720901E-6</v>
      </c>
      <c r="B1037" s="9">
        <v>1.4820283441720901</v>
      </c>
      <c r="C1037">
        <f t="shared" si="49"/>
        <v>202285232383645.09</v>
      </c>
      <c r="D1037">
        <f t="shared" si="50"/>
        <v>202.28523238364508</v>
      </c>
      <c r="H1037" s="9">
        <v>10866</v>
      </c>
    </row>
    <row r="1038" spans="1:8">
      <c r="A1038">
        <f t="shared" si="48"/>
        <v>1.48235622811406E-6</v>
      </c>
      <c r="B1038" s="9">
        <v>1.4823562281140601</v>
      </c>
      <c r="C1038">
        <f t="shared" si="49"/>
        <v>202240488699139.09</v>
      </c>
      <c r="D1038">
        <f t="shared" si="50"/>
        <v>202.24048869913909</v>
      </c>
      <c r="H1038" s="9">
        <v>10866</v>
      </c>
    </row>
    <row r="1039" spans="1:8">
      <c r="A1039">
        <f t="shared" si="48"/>
        <v>1.4826841120560299E-6</v>
      </c>
      <c r="B1039" s="9">
        <v>1.4826841120560299</v>
      </c>
      <c r="C1039">
        <f t="shared" si="49"/>
        <v>202195764804061.66</v>
      </c>
      <c r="D1039">
        <f t="shared" si="50"/>
        <v>202.19576480406167</v>
      </c>
      <c r="H1039" s="9">
        <v>10866</v>
      </c>
    </row>
    <row r="1040" spans="1:8">
      <c r="A1040">
        <f t="shared" si="48"/>
        <v>1.4830119959979999E-6</v>
      </c>
      <c r="B1040" s="9">
        <v>1.4830119959979999</v>
      </c>
      <c r="C1040">
        <f t="shared" si="49"/>
        <v>202151060685286.81</v>
      </c>
      <c r="D1040">
        <f t="shared" si="50"/>
        <v>202.15106068528681</v>
      </c>
      <c r="H1040" s="9">
        <v>10866</v>
      </c>
    </row>
    <row r="1041" spans="1:8">
      <c r="A1041">
        <f t="shared" si="48"/>
        <v>1.48333987993997E-6</v>
      </c>
      <c r="B1041" s="9">
        <v>1.48333987993997</v>
      </c>
      <c r="C1041">
        <f t="shared" si="49"/>
        <v>202106376329700.28</v>
      </c>
      <c r="D1041">
        <f t="shared" si="50"/>
        <v>202.10637632970028</v>
      </c>
      <c r="H1041" s="9">
        <v>10866</v>
      </c>
    </row>
    <row r="1042" spans="1:8">
      <c r="A1042">
        <f t="shared" si="48"/>
        <v>1.48366776388194E-6</v>
      </c>
      <c r="B1042" s="9">
        <v>1.48366776388194</v>
      </c>
      <c r="C1042">
        <f t="shared" si="49"/>
        <v>202061711724199.34</v>
      </c>
      <c r="D1042">
        <f t="shared" si="50"/>
        <v>202.06171172419934</v>
      </c>
      <c r="H1042" s="9">
        <v>10866</v>
      </c>
    </row>
    <row r="1043" spans="1:8">
      <c r="A1043">
        <f t="shared" si="48"/>
        <v>1.4839956478239101E-6</v>
      </c>
      <c r="B1043" s="9">
        <v>1.48399564782391</v>
      </c>
      <c r="C1043">
        <f t="shared" si="49"/>
        <v>202017066855692.81</v>
      </c>
      <c r="D1043">
        <f t="shared" si="50"/>
        <v>202.0170668556928</v>
      </c>
      <c r="H1043" s="9">
        <v>10866</v>
      </c>
    </row>
    <row r="1044" spans="1:8">
      <c r="A1044">
        <f t="shared" si="48"/>
        <v>1.48432353176588E-6</v>
      </c>
      <c r="B1044" s="9">
        <v>1.4843235317658801</v>
      </c>
      <c r="C1044">
        <f t="shared" si="49"/>
        <v>201972441711101.16</v>
      </c>
      <c r="D1044">
        <f t="shared" si="50"/>
        <v>201.97244171110117</v>
      </c>
      <c r="H1044" s="9">
        <v>10866</v>
      </c>
    </row>
    <row r="1045" spans="1:8">
      <c r="A1045">
        <f t="shared" si="48"/>
        <v>1.4846514157078502E-6</v>
      </c>
      <c r="B1045" s="9">
        <v>1.4846514157078501</v>
      </c>
      <c r="C1045">
        <f t="shared" si="49"/>
        <v>201927836277356.31</v>
      </c>
      <c r="D1045">
        <f t="shared" si="50"/>
        <v>201.92783627735631</v>
      </c>
      <c r="H1045" s="9">
        <v>10866</v>
      </c>
    </row>
    <row r="1046" spans="1:8">
      <c r="A1046">
        <f t="shared" si="48"/>
        <v>1.4849792996498301E-6</v>
      </c>
      <c r="B1046" s="9">
        <v>1.4849792996498301</v>
      </c>
      <c r="C1046">
        <f t="shared" si="49"/>
        <v>201883250541400.44</v>
      </c>
      <c r="D1046">
        <f t="shared" si="50"/>
        <v>201.88325054140043</v>
      </c>
      <c r="H1046" s="9">
        <v>10866</v>
      </c>
    </row>
    <row r="1047" spans="1:8">
      <c r="A1047">
        <f t="shared" si="48"/>
        <v>1.4853071835918E-6</v>
      </c>
      <c r="B1047" s="9">
        <v>1.4853071835917999</v>
      </c>
      <c r="C1047">
        <f t="shared" si="49"/>
        <v>201838684490191.34</v>
      </c>
      <c r="D1047">
        <f t="shared" si="50"/>
        <v>201.83868449019135</v>
      </c>
      <c r="H1047" s="9">
        <v>10866</v>
      </c>
    </row>
    <row r="1048" spans="1:8">
      <c r="A1048">
        <f t="shared" si="48"/>
        <v>1.4856350675337699E-6</v>
      </c>
      <c r="B1048" s="9">
        <v>1.4856350675337699</v>
      </c>
      <c r="C1048">
        <f t="shared" si="49"/>
        <v>201794138110694.16</v>
      </c>
      <c r="D1048">
        <f t="shared" si="50"/>
        <v>201.79413811069415</v>
      </c>
      <c r="H1048" s="9">
        <v>10866</v>
      </c>
    </row>
    <row r="1049" spans="1:8">
      <c r="A1049">
        <f t="shared" si="48"/>
        <v>1.4859629514757399E-6</v>
      </c>
      <c r="B1049" s="9">
        <v>1.48596295147574</v>
      </c>
      <c r="C1049">
        <f t="shared" si="49"/>
        <v>201749611389886.97</v>
      </c>
      <c r="D1049">
        <f t="shared" si="50"/>
        <v>201.74961138988698</v>
      </c>
      <c r="H1049" s="9">
        <v>10866</v>
      </c>
    </row>
    <row r="1050" spans="1:8">
      <c r="A1050">
        <f t="shared" si="48"/>
        <v>1.48629083541771E-6</v>
      </c>
      <c r="B1050" s="9">
        <v>1.48629083541771</v>
      </c>
      <c r="C1050">
        <f t="shared" si="49"/>
        <v>201705104314759.34</v>
      </c>
      <c r="D1050">
        <f t="shared" si="50"/>
        <v>201.70510431475935</v>
      </c>
      <c r="H1050" s="9">
        <v>10866</v>
      </c>
    </row>
    <row r="1051" spans="1:8">
      <c r="A1051">
        <f t="shared" si="48"/>
        <v>1.48661871935968E-6</v>
      </c>
      <c r="B1051" s="9">
        <v>1.48661871935968</v>
      </c>
      <c r="C1051">
        <f t="shared" si="49"/>
        <v>201660616872312.31</v>
      </c>
      <c r="D1051">
        <f t="shared" si="50"/>
        <v>201.66061687231232</v>
      </c>
      <c r="H1051" s="9">
        <v>10866</v>
      </c>
    </row>
    <row r="1052" spans="1:8">
      <c r="A1052">
        <f t="shared" si="48"/>
        <v>1.4869466033016501E-6</v>
      </c>
      <c r="B1052" s="9">
        <v>1.4869466033016501</v>
      </c>
      <c r="C1052">
        <f t="shared" si="49"/>
        <v>201616149049558.34</v>
      </c>
      <c r="D1052">
        <f t="shared" si="50"/>
        <v>201.61614904955835</v>
      </c>
      <c r="H1052" s="9">
        <v>10866</v>
      </c>
    </row>
    <row r="1053" spans="1:8">
      <c r="A1053">
        <f t="shared" si="48"/>
        <v>1.48727448724362E-6</v>
      </c>
      <c r="B1053" s="9">
        <v>1.4872744872436201</v>
      </c>
      <c r="C1053">
        <f t="shared" si="49"/>
        <v>201571700833521.44</v>
      </c>
      <c r="D1053">
        <f t="shared" si="50"/>
        <v>201.57170083352145</v>
      </c>
      <c r="H1053" s="9">
        <v>10866</v>
      </c>
    </row>
    <row r="1054" spans="1:8">
      <c r="A1054">
        <f t="shared" si="48"/>
        <v>1.48760237118559E-6</v>
      </c>
      <c r="B1054" s="9">
        <v>1.4876023711855899</v>
      </c>
      <c r="C1054">
        <f t="shared" si="49"/>
        <v>201527272211237</v>
      </c>
      <c r="D1054">
        <f t="shared" si="50"/>
        <v>201.527272211237</v>
      </c>
      <c r="H1054" s="9">
        <v>10866</v>
      </c>
    </row>
    <row r="1055" spans="1:8">
      <c r="A1055">
        <f t="shared" si="48"/>
        <v>1.4879302551275599E-6</v>
      </c>
      <c r="B1055" s="9">
        <v>1.4879302551275599</v>
      </c>
      <c r="C1055">
        <f t="shared" si="49"/>
        <v>201482863169751.78</v>
      </c>
      <c r="D1055">
        <f t="shared" si="50"/>
        <v>201.48286316975179</v>
      </c>
      <c r="H1055" s="9">
        <v>10866</v>
      </c>
    </row>
    <row r="1056" spans="1:8">
      <c r="A1056">
        <f t="shared" si="48"/>
        <v>1.4882581390695301E-6</v>
      </c>
      <c r="B1056" s="9">
        <v>1.48825813906953</v>
      </c>
      <c r="C1056">
        <f t="shared" si="49"/>
        <v>201438473696124.03</v>
      </c>
      <c r="D1056">
        <f t="shared" si="50"/>
        <v>201.43847369612402</v>
      </c>
      <c r="H1056" s="9">
        <v>10866</v>
      </c>
    </row>
    <row r="1057" spans="1:8">
      <c r="A1057">
        <f t="shared" si="48"/>
        <v>1.48858602301151E-6</v>
      </c>
      <c r="B1057" s="9">
        <v>1.48858602301151</v>
      </c>
      <c r="C1057">
        <f t="shared" si="49"/>
        <v>201394103777422.03</v>
      </c>
      <c r="D1057">
        <f t="shared" si="50"/>
        <v>201.39410377742203</v>
      </c>
      <c r="H1057" s="9">
        <v>10866</v>
      </c>
    </row>
    <row r="1058" spans="1:8">
      <c r="A1058">
        <f t="shared" si="48"/>
        <v>1.4889139069534801E-6</v>
      </c>
      <c r="B1058" s="9">
        <v>1.48891390695348</v>
      </c>
      <c r="C1058">
        <f t="shared" si="49"/>
        <v>201349753400729.56</v>
      </c>
      <c r="D1058">
        <f t="shared" si="50"/>
        <v>201.34975340072955</v>
      </c>
      <c r="H1058" s="9">
        <v>10866</v>
      </c>
    </row>
    <row r="1059" spans="1:8">
      <c r="A1059">
        <f t="shared" si="48"/>
        <v>1.48924179089545E-6</v>
      </c>
      <c r="B1059" s="9">
        <v>1.4892417908954501</v>
      </c>
      <c r="C1059">
        <f t="shared" si="49"/>
        <v>201305422553137.62</v>
      </c>
      <c r="D1059">
        <f t="shared" si="50"/>
        <v>201.30542255313762</v>
      </c>
      <c r="H1059" s="9">
        <v>10866</v>
      </c>
    </row>
    <row r="1060" spans="1:8">
      <c r="A1060">
        <f t="shared" si="48"/>
        <v>1.4895696748374202E-6</v>
      </c>
      <c r="B1060" s="9">
        <v>1.4895696748374201</v>
      </c>
      <c r="C1060">
        <f t="shared" si="49"/>
        <v>201261111221750</v>
      </c>
      <c r="D1060">
        <f t="shared" si="50"/>
        <v>201.26111122175001</v>
      </c>
      <c r="H1060" s="9">
        <v>10866</v>
      </c>
    </row>
    <row r="1061" spans="1:8">
      <c r="A1061">
        <f t="shared" si="48"/>
        <v>1.4898975587793899E-6</v>
      </c>
      <c r="B1061" s="9">
        <v>1.4898975587793899</v>
      </c>
      <c r="C1061">
        <f t="shared" si="49"/>
        <v>201216819393681.87</v>
      </c>
      <c r="D1061">
        <f t="shared" si="50"/>
        <v>201.21681939368187</v>
      </c>
      <c r="H1061" s="9">
        <v>10866</v>
      </c>
    </row>
    <row r="1062" spans="1:8">
      <c r="A1062">
        <f t="shared" si="48"/>
        <v>1.4902254427213598E-6</v>
      </c>
      <c r="B1062" s="9">
        <v>1.4902254427213599</v>
      </c>
      <c r="C1062">
        <f t="shared" si="49"/>
        <v>201172547056059.59</v>
      </c>
      <c r="D1062">
        <f t="shared" si="50"/>
        <v>201.17254705605959</v>
      </c>
      <c r="H1062" s="9">
        <v>10866</v>
      </c>
    </row>
    <row r="1063" spans="1:8">
      <c r="A1063">
        <f t="shared" si="48"/>
        <v>1.49055332666333E-6</v>
      </c>
      <c r="B1063" s="9">
        <v>1.49055332666333</v>
      </c>
      <c r="C1063">
        <f t="shared" si="49"/>
        <v>201128294196021</v>
      </c>
      <c r="D1063">
        <f t="shared" si="50"/>
        <v>201.12829419602099</v>
      </c>
      <c r="H1063" s="9">
        <v>10866</v>
      </c>
    </row>
    <row r="1064" spans="1:8">
      <c r="A1064">
        <f t="shared" si="48"/>
        <v>1.4908812106052999E-6</v>
      </c>
      <c r="B1064" s="9">
        <v>1.4908812106053</v>
      </c>
      <c r="C1064">
        <f t="shared" si="49"/>
        <v>201084060800715.19</v>
      </c>
      <c r="D1064">
        <f t="shared" si="50"/>
        <v>201.08406080071518</v>
      </c>
      <c r="H1064" s="9">
        <v>10866</v>
      </c>
    </row>
    <row r="1065" spans="1:8">
      <c r="A1065">
        <f t="shared" si="48"/>
        <v>1.4912090945472701E-6</v>
      </c>
      <c r="B1065" s="9">
        <v>1.49120909454727</v>
      </c>
      <c r="C1065">
        <f t="shared" si="49"/>
        <v>201039846857302.56</v>
      </c>
      <c r="D1065">
        <f t="shared" si="50"/>
        <v>201.03984685730256</v>
      </c>
      <c r="H1065" s="9">
        <v>10866</v>
      </c>
    </row>
    <row r="1066" spans="1:8">
      <c r="A1066">
        <f t="shared" si="48"/>
        <v>1.49153697848924E-6</v>
      </c>
      <c r="B1066" s="9">
        <v>1.4915369784892401</v>
      </c>
      <c r="C1066">
        <f t="shared" si="49"/>
        <v>200995652352954.84</v>
      </c>
      <c r="D1066">
        <f t="shared" si="50"/>
        <v>200.99565235295483</v>
      </c>
      <c r="H1066" s="9">
        <v>10866</v>
      </c>
    </row>
    <row r="1067" spans="1:8">
      <c r="A1067">
        <f t="shared" si="48"/>
        <v>1.4918648624312201E-6</v>
      </c>
      <c r="B1067" s="9">
        <v>1.4918648624312201</v>
      </c>
      <c r="C1067">
        <f t="shared" si="49"/>
        <v>200951477274853.66</v>
      </c>
      <c r="D1067">
        <f t="shared" si="50"/>
        <v>200.95147727485366</v>
      </c>
      <c r="H1067" s="9">
        <v>10866</v>
      </c>
    </row>
    <row r="1068" spans="1:8">
      <c r="A1068">
        <f t="shared" si="48"/>
        <v>1.49219274637319E-6</v>
      </c>
      <c r="B1068" s="9">
        <v>1.4921927463731901</v>
      </c>
      <c r="C1068">
        <f t="shared" si="49"/>
        <v>200907321610195.91</v>
      </c>
      <c r="D1068">
        <f t="shared" si="50"/>
        <v>200.90732161019591</v>
      </c>
      <c r="H1068" s="9">
        <v>10866</v>
      </c>
    </row>
    <row r="1069" spans="1:8">
      <c r="A1069">
        <f t="shared" si="48"/>
        <v>1.49252063031516E-6</v>
      </c>
      <c r="B1069" s="9">
        <v>1.4925206303151599</v>
      </c>
      <c r="C1069">
        <f t="shared" si="49"/>
        <v>200863185346185.78</v>
      </c>
      <c r="D1069">
        <f t="shared" si="50"/>
        <v>200.86318534618579</v>
      </c>
      <c r="H1069" s="9">
        <v>10866</v>
      </c>
    </row>
    <row r="1070" spans="1:8">
      <c r="A1070">
        <f t="shared" si="48"/>
        <v>1.4928485142571299E-6</v>
      </c>
      <c r="B1070" s="9">
        <v>1.4928485142571299</v>
      </c>
      <c r="C1070">
        <f t="shared" si="49"/>
        <v>200819068470039.97</v>
      </c>
      <c r="D1070">
        <f t="shared" si="50"/>
        <v>200.81906847003998</v>
      </c>
      <c r="H1070" s="9">
        <v>10866</v>
      </c>
    </row>
    <row r="1071" spans="1:8">
      <c r="A1071">
        <f t="shared" si="48"/>
        <v>1.4931763981991001E-6</v>
      </c>
      <c r="B1071" s="9">
        <v>1.4931763981991</v>
      </c>
      <c r="C1071">
        <f t="shared" si="49"/>
        <v>200774970968986.41</v>
      </c>
      <c r="D1071">
        <f t="shared" si="50"/>
        <v>200.77497096898639</v>
      </c>
      <c r="H1071" s="9">
        <v>10866</v>
      </c>
    </row>
    <row r="1072" spans="1:8">
      <c r="A1072">
        <f t="shared" si="48"/>
        <v>1.49350428214107E-6</v>
      </c>
      <c r="B1072" s="9">
        <v>1.49350428214107</v>
      </c>
      <c r="C1072">
        <f t="shared" si="49"/>
        <v>200730892830264.34</v>
      </c>
      <c r="D1072">
        <f t="shared" si="50"/>
        <v>200.73089283026434</v>
      </c>
      <c r="H1072" s="9">
        <v>10866</v>
      </c>
    </row>
    <row r="1073" spans="1:8">
      <c r="A1073">
        <f t="shared" si="48"/>
        <v>1.4938321660830399E-6</v>
      </c>
      <c r="B1073" s="9">
        <v>1.49383216608304</v>
      </c>
      <c r="C1073">
        <f t="shared" si="49"/>
        <v>200686834041124.09</v>
      </c>
      <c r="D1073">
        <f t="shared" si="50"/>
        <v>200.68683404112409</v>
      </c>
      <c r="H1073" s="9">
        <v>10866</v>
      </c>
    </row>
    <row r="1074" spans="1:8">
      <c r="A1074">
        <f t="shared" si="48"/>
        <v>1.4941600500250101E-6</v>
      </c>
      <c r="B1074" s="9">
        <v>1.4941600500250101</v>
      </c>
      <c r="C1074">
        <f t="shared" si="49"/>
        <v>200642794588827.28</v>
      </c>
      <c r="D1074">
        <f t="shared" si="50"/>
        <v>200.64279458882729</v>
      </c>
      <c r="H1074" s="9">
        <v>10866</v>
      </c>
    </row>
    <row r="1075" spans="1:8">
      <c r="A1075">
        <f t="shared" si="48"/>
        <v>1.49448793396698E-6</v>
      </c>
      <c r="B1075" s="9">
        <v>1.4944879339669801</v>
      </c>
      <c r="C1075">
        <f t="shared" si="49"/>
        <v>200598774460646.62</v>
      </c>
      <c r="D1075">
        <f t="shared" si="50"/>
        <v>200.59877446064664</v>
      </c>
      <c r="H1075" s="9">
        <v>10866</v>
      </c>
    </row>
    <row r="1076" spans="1:8">
      <c r="A1076">
        <f t="shared" si="48"/>
        <v>1.49481581790895E-6</v>
      </c>
      <c r="B1076" s="9">
        <v>1.4948158179089499</v>
      </c>
      <c r="C1076">
        <f t="shared" si="49"/>
        <v>200554773643866.09</v>
      </c>
      <c r="D1076">
        <f t="shared" si="50"/>
        <v>200.5547736438661</v>
      </c>
      <c r="H1076" s="9">
        <v>10866</v>
      </c>
    </row>
    <row r="1077" spans="1:8">
      <c r="A1077">
        <f t="shared" si="48"/>
        <v>1.4951437018509298E-6</v>
      </c>
      <c r="B1077" s="9">
        <v>1.4951437018509299</v>
      </c>
      <c r="C1077">
        <f t="shared" si="49"/>
        <v>200510792125779.34</v>
      </c>
      <c r="D1077">
        <f t="shared" si="50"/>
        <v>200.51079212577935</v>
      </c>
      <c r="H1077" s="9">
        <v>10866</v>
      </c>
    </row>
    <row r="1078" spans="1:8">
      <c r="A1078">
        <f t="shared" si="48"/>
        <v>1.4954715857929E-6</v>
      </c>
      <c r="B1078" s="9">
        <v>1.4954715857929</v>
      </c>
      <c r="C1078">
        <f t="shared" si="49"/>
        <v>200466829893695.28</v>
      </c>
      <c r="D1078">
        <f t="shared" si="50"/>
        <v>200.46682989369529</v>
      </c>
      <c r="H1078" s="9">
        <v>10866</v>
      </c>
    </row>
    <row r="1079" spans="1:8">
      <c r="A1079">
        <f t="shared" si="48"/>
        <v>1.4957994697348699E-6</v>
      </c>
      <c r="B1079" s="9">
        <v>1.49579946973487</v>
      </c>
      <c r="C1079">
        <f t="shared" si="49"/>
        <v>200422886934929.94</v>
      </c>
      <c r="D1079">
        <f t="shared" si="50"/>
        <v>200.42288693492995</v>
      </c>
      <c r="H1079" s="9">
        <v>10866</v>
      </c>
    </row>
    <row r="1080" spans="1:8">
      <c r="A1080">
        <f t="shared" si="48"/>
        <v>1.4961273536768401E-6</v>
      </c>
      <c r="B1080" s="9">
        <v>1.49612735367684</v>
      </c>
      <c r="C1080">
        <f t="shared" si="49"/>
        <v>200378963236811.75</v>
      </c>
      <c r="D1080">
        <f t="shared" si="50"/>
        <v>200.37896323681176</v>
      </c>
      <c r="H1080" s="9">
        <v>10866</v>
      </c>
    </row>
    <row r="1081" spans="1:8">
      <c r="A1081">
        <f t="shared" si="48"/>
        <v>1.49645523761881E-6</v>
      </c>
      <c r="B1081" s="9">
        <v>1.4964552376188101</v>
      </c>
      <c r="C1081">
        <f t="shared" si="49"/>
        <v>200335058786680.34</v>
      </c>
      <c r="D1081">
        <f t="shared" si="50"/>
        <v>200.33505878668035</v>
      </c>
      <c r="H1081" s="9">
        <v>10866</v>
      </c>
    </row>
    <row r="1082" spans="1:8">
      <c r="A1082">
        <f t="shared" si="48"/>
        <v>1.4967831215607802E-6</v>
      </c>
      <c r="B1082" s="9">
        <v>1.4967831215607801</v>
      </c>
      <c r="C1082">
        <f t="shared" si="49"/>
        <v>200291173571886.31</v>
      </c>
      <c r="D1082">
        <f t="shared" si="50"/>
        <v>200.2911735718863</v>
      </c>
      <c r="H1082" s="9">
        <v>10866</v>
      </c>
    </row>
    <row r="1083" spans="1:8">
      <c r="A1083">
        <f t="shared" si="48"/>
        <v>1.4971110055027499E-6</v>
      </c>
      <c r="B1083" s="9">
        <v>1.4971110055027499</v>
      </c>
      <c r="C1083">
        <f t="shared" si="49"/>
        <v>200247307579791.44</v>
      </c>
      <c r="D1083">
        <f t="shared" si="50"/>
        <v>200.24730757979142</v>
      </c>
      <c r="H1083" s="9">
        <v>10866</v>
      </c>
    </row>
    <row r="1084" spans="1:8">
      <c r="A1084">
        <f t="shared" si="48"/>
        <v>1.49743888944472E-6</v>
      </c>
      <c r="B1084" s="9">
        <v>1.4974388894447199</v>
      </c>
      <c r="C1084">
        <f t="shared" si="49"/>
        <v>200203460797768.5</v>
      </c>
      <c r="D1084">
        <f t="shared" si="50"/>
        <v>200.20346079776851</v>
      </c>
      <c r="H1084" s="9">
        <v>10866</v>
      </c>
    </row>
    <row r="1085" spans="1:8">
      <c r="A1085">
        <f t="shared" si="48"/>
        <v>1.49776677338669E-6</v>
      </c>
      <c r="B1085" s="9">
        <v>1.49776677338669</v>
      </c>
      <c r="C1085">
        <f t="shared" si="49"/>
        <v>200159633213201.41</v>
      </c>
      <c r="D1085">
        <f t="shared" si="50"/>
        <v>200.1596332132014</v>
      </c>
      <c r="H1085" s="9">
        <v>10866</v>
      </c>
    </row>
    <row r="1086" spans="1:8">
      <c r="A1086">
        <f t="shared" si="48"/>
        <v>1.4980946573286599E-6</v>
      </c>
      <c r="B1086" s="9">
        <v>1.49809465732866</v>
      </c>
      <c r="C1086">
        <f t="shared" si="49"/>
        <v>200115824813485.03</v>
      </c>
      <c r="D1086">
        <f t="shared" si="50"/>
        <v>200.11582481348503</v>
      </c>
      <c r="H1086" s="9">
        <v>10866</v>
      </c>
    </row>
    <row r="1087" spans="1:8">
      <c r="A1087">
        <f t="shared" si="48"/>
        <v>1.49842254127064E-6</v>
      </c>
      <c r="B1087" s="9">
        <v>1.49842254127064</v>
      </c>
      <c r="C1087">
        <f t="shared" si="49"/>
        <v>200072035586024</v>
      </c>
      <c r="D1087">
        <f t="shared" si="50"/>
        <v>200.07203558602399</v>
      </c>
      <c r="H1087" s="9">
        <v>10866</v>
      </c>
    </row>
    <row r="1088" spans="1:8">
      <c r="A1088">
        <f t="shared" si="48"/>
        <v>1.4987504252126101E-6</v>
      </c>
      <c r="B1088" s="9">
        <v>1.49875042521261</v>
      </c>
      <c r="C1088">
        <f t="shared" si="49"/>
        <v>200028265518237.97</v>
      </c>
      <c r="D1088">
        <f t="shared" si="50"/>
        <v>200.02826551823796</v>
      </c>
      <c r="H1088" s="9">
        <v>10866</v>
      </c>
    </row>
    <row r="1089" spans="1:8">
      <c r="A1089">
        <f t="shared" si="48"/>
        <v>1.4990783091545801E-6</v>
      </c>
      <c r="B1089" s="9">
        <v>1.4990783091545801</v>
      </c>
      <c r="C1089">
        <f t="shared" si="49"/>
        <v>199984514597553.53</v>
      </c>
      <c r="D1089">
        <f t="shared" si="50"/>
        <v>199.98451459755353</v>
      </c>
      <c r="H1089" s="9">
        <v>10866</v>
      </c>
    </row>
    <row r="1090" spans="1:8">
      <c r="A1090">
        <f t="shared" si="48"/>
        <v>1.49940619309655E-6</v>
      </c>
      <c r="B1090" s="9">
        <v>1.4994061930965501</v>
      </c>
      <c r="C1090">
        <f t="shared" si="49"/>
        <v>199940782811409.72</v>
      </c>
      <c r="D1090">
        <f t="shared" si="50"/>
        <v>199.94078281140972</v>
      </c>
      <c r="H1090" s="9">
        <v>10866</v>
      </c>
    </row>
    <row r="1091" spans="1:8">
      <c r="A1091">
        <f t="shared" si="48"/>
        <v>1.49973407703852E-6</v>
      </c>
      <c r="B1091" s="9">
        <v>1.4997340770385199</v>
      </c>
      <c r="C1091">
        <f t="shared" si="49"/>
        <v>199897070147256.5</v>
      </c>
      <c r="D1091">
        <f t="shared" si="50"/>
        <v>199.8970701472565</v>
      </c>
      <c r="H1091" s="9">
        <v>10866</v>
      </c>
    </row>
    <row r="1092" spans="1:8">
      <c r="A1092">
        <f t="shared" si="48"/>
        <v>1.5000619609804899E-6</v>
      </c>
      <c r="B1092" s="9">
        <v>1.5000619609804899</v>
      </c>
      <c r="C1092">
        <f t="shared" si="49"/>
        <v>199853376592554.72</v>
      </c>
      <c r="D1092">
        <f t="shared" si="50"/>
        <v>199.85337659255472</v>
      </c>
      <c r="H1092" s="9">
        <v>10866</v>
      </c>
    </row>
    <row r="1093" spans="1:8">
      <c r="A1093">
        <f t="shared" si="48"/>
        <v>1.50038984492246E-6</v>
      </c>
      <c r="B1093" s="9">
        <v>1.50038984492246</v>
      </c>
      <c r="C1093">
        <f t="shared" si="49"/>
        <v>199809702134776.34</v>
      </c>
      <c r="D1093">
        <f t="shared" si="50"/>
        <v>199.80970213477633</v>
      </c>
      <c r="H1093" s="9">
        <v>10866</v>
      </c>
    </row>
    <row r="1094" spans="1:8">
      <c r="A1094">
        <f t="shared" si="48"/>
        <v>1.50071772886443E-6</v>
      </c>
      <c r="B1094" s="9">
        <v>1.50071772886443</v>
      </c>
      <c r="C1094">
        <f t="shared" si="49"/>
        <v>199766046761404.19</v>
      </c>
      <c r="D1094">
        <f t="shared" si="50"/>
        <v>199.7660467614042</v>
      </c>
      <c r="H1094" s="9">
        <v>10866</v>
      </c>
    </row>
    <row r="1095" spans="1:8">
      <c r="A1095">
        <f t="shared" ref="A1095:A1158" si="51">B1095/1000000</f>
        <v>1.5010456128064001E-6</v>
      </c>
      <c r="B1095" s="9">
        <v>1.5010456128064</v>
      </c>
      <c r="C1095">
        <f t="shared" ref="C1095:C1158" si="52">wavelength_to_freq(B1095)</f>
        <v>199722410459932</v>
      </c>
      <c r="D1095">
        <f t="shared" ref="D1095:D1158" si="53">C1095/1000000000000</f>
        <v>199.72241045993201</v>
      </c>
      <c r="H1095" s="9">
        <v>10866</v>
      </c>
    </row>
    <row r="1096" spans="1:8">
      <c r="A1096">
        <f t="shared" si="51"/>
        <v>1.5013734967483701E-6</v>
      </c>
      <c r="B1096" s="9">
        <v>1.5013734967483701</v>
      </c>
      <c r="C1096">
        <f t="shared" si="52"/>
        <v>199678793217864.53</v>
      </c>
      <c r="D1096">
        <f t="shared" si="53"/>
        <v>199.67879321786452</v>
      </c>
      <c r="H1096" s="9">
        <v>10866</v>
      </c>
    </row>
    <row r="1097" spans="1:8">
      <c r="A1097">
        <f t="shared" si="51"/>
        <v>1.5017013806903502E-6</v>
      </c>
      <c r="B1097" s="9">
        <v>1.5017013806903501</v>
      </c>
      <c r="C1097">
        <f t="shared" si="52"/>
        <v>199635195022716.06</v>
      </c>
      <c r="D1097">
        <f t="shared" si="53"/>
        <v>199.63519502271606</v>
      </c>
      <c r="H1097" s="9">
        <v>10866</v>
      </c>
    </row>
    <row r="1098" spans="1:8">
      <c r="A1098">
        <f t="shared" si="51"/>
        <v>1.5020292646323199E-6</v>
      </c>
      <c r="B1098" s="9">
        <v>1.5020292646323199</v>
      </c>
      <c r="C1098">
        <f t="shared" si="52"/>
        <v>199591615862015.75</v>
      </c>
      <c r="D1098">
        <f t="shared" si="53"/>
        <v>199.59161586201574</v>
      </c>
      <c r="H1098" s="9">
        <v>10866</v>
      </c>
    </row>
    <row r="1099" spans="1:8">
      <c r="A1099">
        <f t="shared" si="51"/>
        <v>1.50235714857429E-6</v>
      </c>
      <c r="B1099" s="9">
        <v>1.5023571485742899</v>
      </c>
      <c r="C1099">
        <f t="shared" si="52"/>
        <v>199548055723299.66</v>
      </c>
      <c r="D1099">
        <f t="shared" si="53"/>
        <v>199.54805572329965</v>
      </c>
      <c r="H1099" s="9">
        <v>10866</v>
      </c>
    </row>
    <row r="1100" spans="1:8">
      <c r="A1100">
        <f t="shared" si="51"/>
        <v>1.50268503251626E-6</v>
      </c>
      <c r="B1100" s="9">
        <v>1.50268503251626</v>
      </c>
      <c r="C1100">
        <f t="shared" si="52"/>
        <v>199504514594116.09</v>
      </c>
      <c r="D1100">
        <f t="shared" si="53"/>
        <v>199.5045145941161</v>
      </c>
      <c r="H1100" s="9">
        <v>10866</v>
      </c>
    </row>
    <row r="1101" spans="1:8">
      <c r="A1101">
        <f t="shared" si="51"/>
        <v>1.5030129164582299E-6</v>
      </c>
      <c r="B1101" s="9">
        <v>1.50301291645823</v>
      </c>
      <c r="C1101">
        <f t="shared" si="52"/>
        <v>199460992462024.19</v>
      </c>
      <c r="D1101">
        <f t="shared" si="53"/>
        <v>199.46099246202419</v>
      </c>
      <c r="H1101" s="9">
        <v>10866</v>
      </c>
    </row>
    <row r="1102" spans="1:8">
      <c r="A1102">
        <f t="shared" si="51"/>
        <v>1.5033408004002E-6</v>
      </c>
      <c r="B1102" s="9">
        <v>1.5033408004002</v>
      </c>
      <c r="C1102">
        <f t="shared" si="52"/>
        <v>199417489314593.94</v>
      </c>
      <c r="D1102">
        <f t="shared" si="53"/>
        <v>199.41748931459395</v>
      </c>
      <c r="H1102" s="9">
        <v>10866</v>
      </c>
    </row>
    <row r="1103" spans="1:8">
      <c r="A1103">
        <f t="shared" si="51"/>
        <v>1.50366868434217E-6</v>
      </c>
      <c r="B1103" s="9">
        <v>1.50366868434217</v>
      </c>
      <c r="C1103">
        <f t="shared" si="52"/>
        <v>199374005139406.22</v>
      </c>
      <c r="D1103">
        <f t="shared" si="53"/>
        <v>199.37400513940622</v>
      </c>
      <c r="H1103" s="9">
        <v>10866</v>
      </c>
    </row>
    <row r="1104" spans="1:8">
      <c r="A1104">
        <f t="shared" si="51"/>
        <v>1.5039965682841401E-6</v>
      </c>
      <c r="B1104" s="9">
        <v>1.5039965682841401</v>
      </c>
      <c r="C1104">
        <f t="shared" si="52"/>
        <v>199330539924052.69</v>
      </c>
      <c r="D1104">
        <f t="shared" si="53"/>
        <v>199.33053992405269</v>
      </c>
      <c r="H1104" s="9">
        <v>10866</v>
      </c>
    </row>
    <row r="1105" spans="1:8">
      <c r="A1105">
        <f t="shared" si="51"/>
        <v>1.5043244522261101E-6</v>
      </c>
      <c r="B1105" s="9">
        <v>1.5043244522261101</v>
      </c>
      <c r="C1105">
        <f t="shared" si="52"/>
        <v>199287093656135.81</v>
      </c>
      <c r="D1105">
        <f t="shared" si="53"/>
        <v>199.28709365613582</v>
      </c>
      <c r="H1105" s="9">
        <v>10866</v>
      </c>
    </row>
    <row r="1106" spans="1:8">
      <c r="A1106">
        <f t="shared" si="51"/>
        <v>1.50465233616808E-6</v>
      </c>
      <c r="B1106" s="9">
        <v>1.5046523361680799</v>
      </c>
      <c r="C1106">
        <f t="shared" si="52"/>
        <v>199243666323268.94</v>
      </c>
      <c r="D1106">
        <f t="shared" si="53"/>
        <v>199.24366632326894</v>
      </c>
      <c r="H1106" s="9">
        <v>10866</v>
      </c>
    </row>
    <row r="1107" spans="1:8">
      <c r="A1107">
        <f t="shared" si="51"/>
        <v>1.5049802201100599E-6</v>
      </c>
      <c r="B1107" s="9">
        <v>1.5049802201100599</v>
      </c>
      <c r="C1107">
        <f t="shared" si="52"/>
        <v>199200257913074.78</v>
      </c>
      <c r="D1107">
        <f t="shared" si="53"/>
        <v>199.20025791307478</v>
      </c>
      <c r="H1107" s="9">
        <v>10866</v>
      </c>
    </row>
    <row r="1108" spans="1:8">
      <c r="A1108">
        <f t="shared" si="51"/>
        <v>1.50530810405203E-6</v>
      </c>
      <c r="B1108" s="9">
        <v>1.50530810405203</v>
      </c>
      <c r="C1108">
        <f t="shared" si="52"/>
        <v>199156868413190.91</v>
      </c>
      <c r="D1108">
        <f t="shared" si="53"/>
        <v>199.15686841319089</v>
      </c>
      <c r="H1108" s="9">
        <v>10866</v>
      </c>
    </row>
    <row r="1109" spans="1:8">
      <c r="A1109">
        <f t="shared" si="51"/>
        <v>1.505635987994E-6</v>
      </c>
      <c r="B1109" s="9">
        <v>1.505635987994</v>
      </c>
      <c r="C1109">
        <f t="shared" si="52"/>
        <v>199113497811261.59</v>
      </c>
      <c r="D1109">
        <f t="shared" si="53"/>
        <v>199.1134978112616</v>
      </c>
      <c r="H1109" s="9">
        <v>10866</v>
      </c>
    </row>
    <row r="1110" spans="1:8">
      <c r="A1110">
        <f t="shared" si="51"/>
        <v>1.5059638719359701E-6</v>
      </c>
      <c r="B1110" s="9">
        <v>1.50596387193597</v>
      </c>
      <c r="C1110">
        <f t="shared" si="52"/>
        <v>199070146094943.28</v>
      </c>
      <c r="D1110">
        <f t="shared" si="53"/>
        <v>199.07014609494328</v>
      </c>
      <c r="H1110" s="9">
        <v>10866</v>
      </c>
    </row>
    <row r="1111" spans="1:8">
      <c r="A1111">
        <f t="shared" si="51"/>
        <v>1.5062917558779401E-6</v>
      </c>
      <c r="B1111" s="9">
        <v>1.5062917558779401</v>
      </c>
      <c r="C1111">
        <f t="shared" si="52"/>
        <v>199026813251903.09</v>
      </c>
      <c r="D1111">
        <f t="shared" si="53"/>
        <v>199.02681325190309</v>
      </c>
      <c r="H1111" s="9">
        <v>10866</v>
      </c>
    </row>
    <row r="1112" spans="1:8">
      <c r="A1112">
        <f t="shared" si="51"/>
        <v>1.5066196398199102E-6</v>
      </c>
      <c r="B1112" s="9">
        <v>1.5066196398199101</v>
      </c>
      <c r="C1112">
        <f t="shared" si="52"/>
        <v>198983499269818.97</v>
      </c>
      <c r="D1112">
        <f t="shared" si="53"/>
        <v>198.98349926981896</v>
      </c>
      <c r="H1112" s="9">
        <v>10866</v>
      </c>
    </row>
    <row r="1113" spans="1:8">
      <c r="A1113">
        <f t="shared" si="51"/>
        <v>1.5069475237618799E-6</v>
      </c>
      <c r="B1113" s="9">
        <v>1.5069475237618799</v>
      </c>
      <c r="C1113">
        <f t="shared" si="52"/>
        <v>198940204136379.5</v>
      </c>
      <c r="D1113">
        <f t="shared" si="53"/>
        <v>198.94020413637949</v>
      </c>
      <c r="H1113" s="9">
        <v>10866</v>
      </c>
    </row>
    <row r="1114" spans="1:8">
      <c r="A1114">
        <f t="shared" si="51"/>
        <v>1.5072754077038499E-6</v>
      </c>
      <c r="B1114" s="9">
        <v>1.5072754077038499</v>
      </c>
      <c r="C1114">
        <f t="shared" si="52"/>
        <v>198896927839284</v>
      </c>
      <c r="D1114">
        <f t="shared" si="53"/>
        <v>198.89692783928399</v>
      </c>
      <c r="H1114" s="9">
        <v>10866</v>
      </c>
    </row>
    <row r="1115" spans="1:8">
      <c r="A1115">
        <f t="shared" si="51"/>
        <v>1.50760329164582E-6</v>
      </c>
      <c r="B1115" s="9">
        <v>1.50760329164582</v>
      </c>
      <c r="C1115">
        <f t="shared" si="52"/>
        <v>198853670366242.47</v>
      </c>
      <c r="D1115">
        <f t="shared" si="53"/>
        <v>198.85367036624248</v>
      </c>
      <c r="H1115" s="9">
        <v>10866</v>
      </c>
    </row>
    <row r="1116" spans="1:8">
      <c r="A1116">
        <f t="shared" si="51"/>
        <v>1.5079311755877899E-6</v>
      </c>
      <c r="B1116" s="9">
        <v>1.50793117558779</v>
      </c>
      <c r="C1116">
        <f t="shared" si="52"/>
        <v>198810431704975.66</v>
      </c>
      <c r="D1116">
        <f t="shared" si="53"/>
        <v>198.81043170497566</v>
      </c>
      <c r="H1116" s="9">
        <v>10866</v>
      </c>
    </row>
    <row r="1117" spans="1:8">
      <c r="A1117">
        <f t="shared" si="51"/>
        <v>1.5082590595297601E-6</v>
      </c>
      <c r="B1117" s="9">
        <v>1.50825905952976</v>
      </c>
      <c r="C1117">
        <f t="shared" si="52"/>
        <v>198767211843214.97</v>
      </c>
      <c r="D1117">
        <f t="shared" si="53"/>
        <v>198.76721184321497</v>
      </c>
      <c r="H1117" s="9">
        <v>10866</v>
      </c>
    </row>
    <row r="1118" spans="1:8">
      <c r="A1118">
        <f t="shared" si="51"/>
        <v>1.50858694347174E-6</v>
      </c>
      <c r="B1118" s="9">
        <v>1.50858694347174</v>
      </c>
      <c r="C1118">
        <f t="shared" si="52"/>
        <v>198724010768701.12</v>
      </c>
      <c r="D1118">
        <f t="shared" si="53"/>
        <v>198.72401076870113</v>
      </c>
      <c r="H1118" s="9">
        <v>10866</v>
      </c>
    </row>
    <row r="1119" spans="1:8">
      <c r="A1119">
        <f t="shared" si="51"/>
        <v>1.5089148274137101E-6</v>
      </c>
      <c r="B1119" s="9">
        <v>1.5089148274137101</v>
      </c>
      <c r="C1119">
        <f t="shared" si="52"/>
        <v>198680828469189.5</v>
      </c>
      <c r="D1119">
        <f t="shared" si="53"/>
        <v>198.68082846918949</v>
      </c>
      <c r="H1119" s="9">
        <v>10866</v>
      </c>
    </row>
    <row r="1120" spans="1:8">
      <c r="A1120">
        <f t="shared" si="51"/>
        <v>1.5092427113556798E-6</v>
      </c>
      <c r="B1120" s="9">
        <v>1.5092427113556799</v>
      </c>
      <c r="C1120">
        <f t="shared" si="52"/>
        <v>198637664932442.12</v>
      </c>
      <c r="D1120">
        <f t="shared" si="53"/>
        <v>198.63766493244214</v>
      </c>
      <c r="H1120" s="9">
        <v>10866</v>
      </c>
    </row>
    <row r="1121" spans="1:8">
      <c r="A1121">
        <f t="shared" si="51"/>
        <v>1.50957059529765E-6</v>
      </c>
      <c r="B1121" s="9">
        <v>1.5095705952976499</v>
      </c>
      <c r="C1121">
        <f t="shared" si="52"/>
        <v>198594520146232.94</v>
      </c>
      <c r="D1121">
        <f t="shared" si="53"/>
        <v>198.59452014623292</v>
      </c>
      <c r="H1121" s="9">
        <v>10866</v>
      </c>
    </row>
    <row r="1122" spans="1:8">
      <c r="A1122">
        <f t="shared" si="51"/>
        <v>1.5098984792396199E-6</v>
      </c>
      <c r="B1122" s="9">
        <v>1.50989847923962</v>
      </c>
      <c r="C1122">
        <f t="shared" si="52"/>
        <v>198551394098346.62</v>
      </c>
      <c r="D1122">
        <f t="shared" si="53"/>
        <v>198.55139409834663</v>
      </c>
      <c r="H1122" s="9">
        <v>10866</v>
      </c>
    </row>
    <row r="1123" spans="1:8">
      <c r="A1123">
        <f t="shared" si="51"/>
        <v>1.5102263631815901E-6</v>
      </c>
      <c r="B1123" s="9">
        <v>1.51022636318159</v>
      </c>
      <c r="C1123">
        <f t="shared" si="52"/>
        <v>198508286776578.34</v>
      </c>
      <c r="D1123">
        <f t="shared" si="53"/>
        <v>198.50828677657833</v>
      </c>
      <c r="H1123" s="9">
        <v>10866</v>
      </c>
    </row>
    <row r="1124" spans="1:8">
      <c r="A1124">
        <f t="shared" si="51"/>
        <v>1.51055424712356E-6</v>
      </c>
      <c r="B1124" s="9">
        <v>1.51055424712356</v>
      </c>
      <c r="C1124">
        <f t="shared" si="52"/>
        <v>198465198168733.91</v>
      </c>
      <c r="D1124">
        <f t="shared" si="53"/>
        <v>198.46519816873391</v>
      </c>
      <c r="H1124" s="9">
        <v>10866</v>
      </c>
    </row>
    <row r="1125" spans="1:8">
      <c r="A1125">
        <f t="shared" si="51"/>
        <v>1.51088213106553E-6</v>
      </c>
      <c r="B1125" s="9">
        <v>1.51088213106553</v>
      </c>
      <c r="C1125">
        <f t="shared" si="52"/>
        <v>198422128262629.78</v>
      </c>
      <c r="D1125">
        <f t="shared" si="53"/>
        <v>198.42212826262977</v>
      </c>
      <c r="H1125" s="9">
        <v>10866</v>
      </c>
    </row>
    <row r="1126" spans="1:8">
      <c r="A1126">
        <f t="shared" si="51"/>
        <v>1.5112100150075001E-6</v>
      </c>
      <c r="B1126" s="9">
        <v>1.5112100150075001</v>
      </c>
      <c r="C1126">
        <f t="shared" si="52"/>
        <v>198379077046092.84</v>
      </c>
      <c r="D1126">
        <f t="shared" si="53"/>
        <v>198.37907704609285</v>
      </c>
      <c r="H1126" s="9">
        <v>10866</v>
      </c>
    </row>
    <row r="1127" spans="1:8">
      <c r="A1127">
        <f t="shared" si="51"/>
        <v>1.51153789894947E-6</v>
      </c>
      <c r="B1127" s="9">
        <v>1.5115378989494701</v>
      </c>
      <c r="C1127">
        <f t="shared" si="52"/>
        <v>198336044506960.72</v>
      </c>
      <c r="D1127">
        <f t="shared" si="53"/>
        <v>198.33604450696072</v>
      </c>
      <c r="H1127" s="9">
        <v>10866</v>
      </c>
    </row>
    <row r="1128" spans="1:8">
      <c r="A1128">
        <f t="shared" si="51"/>
        <v>1.5118657828914499E-6</v>
      </c>
      <c r="B1128" s="9">
        <v>1.5118657828914499</v>
      </c>
      <c r="C1128">
        <f t="shared" si="52"/>
        <v>198293030633080.16</v>
      </c>
      <c r="D1128">
        <f t="shared" si="53"/>
        <v>198.29303063308015</v>
      </c>
      <c r="H1128" s="9">
        <v>10866</v>
      </c>
    </row>
    <row r="1129" spans="1:8">
      <c r="A1129">
        <f t="shared" si="51"/>
        <v>1.5121936668334199E-6</v>
      </c>
      <c r="B1129" s="9">
        <v>1.5121936668334199</v>
      </c>
      <c r="C1129">
        <f t="shared" si="52"/>
        <v>198250035412312.37</v>
      </c>
      <c r="D1129">
        <f t="shared" si="53"/>
        <v>198.25003541231237</v>
      </c>
      <c r="H1129" s="9">
        <v>10866</v>
      </c>
    </row>
    <row r="1130" spans="1:8">
      <c r="A1130">
        <f t="shared" si="51"/>
        <v>1.51252155077539E-6</v>
      </c>
      <c r="B1130" s="9">
        <v>1.51252155077539</v>
      </c>
      <c r="C1130">
        <f t="shared" si="52"/>
        <v>198207058832525.22</v>
      </c>
      <c r="D1130">
        <f t="shared" si="53"/>
        <v>198.20705883252521</v>
      </c>
      <c r="H1130" s="9">
        <v>10866</v>
      </c>
    </row>
    <row r="1131" spans="1:8">
      <c r="A1131">
        <f t="shared" si="51"/>
        <v>1.5128494347173599E-6</v>
      </c>
      <c r="B1131" s="9">
        <v>1.51284943471736</v>
      </c>
      <c r="C1131">
        <f t="shared" si="52"/>
        <v>198164100881598.37</v>
      </c>
      <c r="D1131">
        <f t="shared" si="53"/>
        <v>198.16410088159839</v>
      </c>
      <c r="H1131" s="9">
        <v>10866</v>
      </c>
    </row>
    <row r="1132" spans="1:8">
      <c r="A1132">
        <f t="shared" si="51"/>
        <v>1.5131773186593301E-6</v>
      </c>
      <c r="B1132" s="9">
        <v>1.51317731865933</v>
      </c>
      <c r="C1132">
        <f t="shared" si="52"/>
        <v>198121161547422</v>
      </c>
      <c r="D1132">
        <f t="shared" si="53"/>
        <v>198.12116154742199</v>
      </c>
      <c r="H1132" s="9">
        <v>10866</v>
      </c>
    </row>
    <row r="1133" spans="1:8">
      <c r="A1133">
        <f t="shared" si="51"/>
        <v>1.5135052026013E-6</v>
      </c>
      <c r="B1133" s="9">
        <v>1.5135052026013001</v>
      </c>
      <c r="C1133">
        <f t="shared" si="52"/>
        <v>198078240817896.81</v>
      </c>
      <c r="D1133">
        <f t="shared" si="53"/>
        <v>198.07824081789681</v>
      </c>
      <c r="H1133" s="9">
        <v>10866</v>
      </c>
    </row>
    <row r="1134" spans="1:8">
      <c r="A1134">
        <f t="shared" si="51"/>
        <v>1.5138330865432702E-6</v>
      </c>
      <c r="B1134" s="9">
        <v>1.5138330865432701</v>
      </c>
      <c r="C1134">
        <f t="shared" si="52"/>
        <v>198035338680933.91</v>
      </c>
      <c r="D1134">
        <f t="shared" si="53"/>
        <v>198.0353386809339</v>
      </c>
      <c r="H1134" s="9">
        <v>10866</v>
      </c>
    </row>
    <row r="1135" spans="1:8">
      <c r="A1135">
        <f t="shared" si="51"/>
        <v>1.5141609704852399E-6</v>
      </c>
      <c r="B1135" s="9">
        <v>1.5141609704852399</v>
      </c>
      <c r="C1135">
        <f t="shared" si="52"/>
        <v>197992455124454.94</v>
      </c>
      <c r="D1135">
        <f t="shared" si="53"/>
        <v>197.99245512445495</v>
      </c>
      <c r="H1135" s="9">
        <v>10866</v>
      </c>
    </row>
    <row r="1136" spans="1:8">
      <c r="A1136">
        <f t="shared" si="51"/>
        <v>1.5144888544272098E-6</v>
      </c>
      <c r="B1136" s="9">
        <v>1.5144888544272099</v>
      </c>
      <c r="C1136">
        <f t="shared" si="52"/>
        <v>197949590136391.97</v>
      </c>
      <c r="D1136">
        <f t="shared" si="53"/>
        <v>197.94959013639198</v>
      </c>
      <c r="H1136" s="9">
        <v>10866</v>
      </c>
    </row>
    <row r="1137" spans="1:8">
      <c r="A1137">
        <f t="shared" si="51"/>
        <v>1.51481673836918E-6</v>
      </c>
      <c r="B1137" s="9">
        <v>1.51481673836918</v>
      </c>
      <c r="C1137">
        <f t="shared" si="52"/>
        <v>197906743704687.53</v>
      </c>
      <c r="D1137">
        <f t="shared" si="53"/>
        <v>197.90674370468753</v>
      </c>
      <c r="H1137" s="9">
        <v>10866</v>
      </c>
    </row>
    <row r="1138" spans="1:8">
      <c r="A1138">
        <f t="shared" si="51"/>
        <v>1.5151446223111601E-6</v>
      </c>
      <c r="B1138" s="9">
        <v>1.51514462231116</v>
      </c>
      <c r="C1138">
        <f t="shared" si="52"/>
        <v>197863915817293.28</v>
      </c>
      <c r="D1138">
        <f t="shared" si="53"/>
        <v>197.86391581729328</v>
      </c>
      <c r="H1138" s="9">
        <v>10866</v>
      </c>
    </row>
    <row r="1139" spans="1:8">
      <c r="A1139">
        <f t="shared" si="51"/>
        <v>1.51547250625313E-6</v>
      </c>
      <c r="B1139" s="9">
        <v>1.51547250625313</v>
      </c>
      <c r="C1139">
        <f t="shared" si="52"/>
        <v>197821106462175.25</v>
      </c>
      <c r="D1139">
        <f t="shared" si="53"/>
        <v>197.82110646217524</v>
      </c>
      <c r="H1139" s="9">
        <v>10866</v>
      </c>
    </row>
    <row r="1140" spans="1:8">
      <c r="A1140">
        <f t="shared" si="51"/>
        <v>1.5158003901951E-6</v>
      </c>
      <c r="B1140" s="9">
        <v>1.5158003901951</v>
      </c>
      <c r="C1140">
        <f t="shared" si="52"/>
        <v>197778315627305.94</v>
      </c>
      <c r="D1140">
        <f t="shared" si="53"/>
        <v>197.77831562730594</v>
      </c>
      <c r="H1140" s="9">
        <v>10866</v>
      </c>
    </row>
    <row r="1141" spans="1:8">
      <c r="A1141">
        <f t="shared" si="51"/>
        <v>1.5161282741370701E-6</v>
      </c>
      <c r="B1141" s="9">
        <v>1.5161282741370701</v>
      </c>
      <c r="C1141">
        <f t="shared" si="52"/>
        <v>197735543300669.53</v>
      </c>
      <c r="D1141">
        <f t="shared" si="53"/>
        <v>197.73554330066952</v>
      </c>
      <c r="H1141" s="9">
        <v>10866</v>
      </c>
    </row>
    <row r="1142" spans="1:8">
      <c r="A1142">
        <f t="shared" si="51"/>
        <v>1.51645615807904E-6</v>
      </c>
      <c r="B1142" s="9">
        <v>1.5164561580790401</v>
      </c>
      <c r="C1142">
        <f t="shared" si="52"/>
        <v>197692789470260.66</v>
      </c>
      <c r="D1142">
        <f t="shared" si="53"/>
        <v>197.69278947026066</v>
      </c>
      <c r="H1142" s="9">
        <v>10866</v>
      </c>
    </row>
    <row r="1143" spans="1:8">
      <c r="A1143">
        <f t="shared" si="51"/>
        <v>1.51678404202101E-6</v>
      </c>
      <c r="B1143" s="9">
        <v>1.5167840420210099</v>
      </c>
      <c r="C1143">
        <f t="shared" si="52"/>
        <v>197650054124084.31</v>
      </c>
      <c r="D1143">
        <f t="shared" si="53"/>
        <v>197.65005412408431</v>
      </c>
      <c r="H1143" s="9">
        <v>10866</v>
      </c>
    </row>
    <row r="1144" spans="1:8">
      <c r="A1144">
        <f t="shared" si="51"/>
        <v>1.5171119259629799E-6</v>
      </c>
      <c r="B1144" s="9">
        <v>1.5171119259629799</v>
      </c>
      <c r="C1144">
        <f t="shared" si="52"/>
        <v>197607337250155.81</v>
      </c>
      <c r="D1144">
        <f t="shared" si="53"/>
        <v>197.60733725015581</v>
      </c>
      <c r="H1144" s="9">
        <v>10866</v>
      </c>
    </row>
    <row r="1145" spans="1:8">
      <c r="A1145">
        <f t="shared" si="51"/>
        <v>1.5174398099049501E-6</v>
      </c>
      <c r="B1145" s="9">
        <v>1.51743980990495</v>
      </c>
      <c r="C1145">
        <f t="shared" si="52"/>
        <v>197564638836500.87</v>
      </c>
      <c r="D1145">
        <f t="shared" si="53"/>
        <v>197.56463883650088</v>
      </c>
      <c r="H1145" s="9">
        <v>10866</v>
      </c>
    </row>
    <row r="1146" spans="1:8">
      <c r="A1146">
        <f t="shared" si="51"/>
        <v>1.51776769384692E-6</v>
      </c>
      <c r="B1146" s="9">
        <v>1.51776769384692</v>
      </c>
      <c r="C1146">
        <f t="shared" si="52"/>
        <v>197521958871155.59</v>
      </c>
      <c r="D1146">
        <f t="shared" si="53"/>
        <v>197.52195887115559</v>
      </c>
      <c r="H1146" s="9">
        <v>10866</v>
      </c>
    </row>
    <row r="1147" spans="1:8">
      <c r="A1147">
        <f t="shared" si="51"/>
        <v>1.5180955777888901E-6</v>
      </c>
      <c r="B1147" s="9">
        <v>1.51809557778889</v>
      </c>
      <c r="C1147">
        <f t="shared" si="52"/>
        <v>197479297342166.31</v>
      </c>
      <c r="D1147">
        <f t="shared" si="53"/>
        <v>197.47929734216632</v>
      </c>
      <c r="H1147" s="9">
        <v>10866</v>
      </c>
    </row>
    <row r="1148" spans="1:8">
      <c r="A1148">
        <f t="shared" si="51"/>
        <v>1.51842346173087E-6</v>
      </c>
      <c r="B1148" s="9">
        <v>1.5184234617308701</v>
      </c>
      <c r="C1148">
        <f t="shared" si="52"/>
        <v>197436654237588.5</v>
      </c>
      <c r="D1148">
        <f t="shared" si="53"/>
        <v>197.4366542375885</v>
      </c>
      <c r="H1148" s="9">
        <v>10866</v>
      </c>
    </row>
    <row r="1149" spans="1:8">
      <c r="A1149">
        <f t="shared" si="51"/>
        <v>1.5187513456728402E-6</v>
      </c>
      <c r="B1149" s="9">
        <v>1.5187513456728401</v>
      </c>
      <c r="C1149">
        <f t="shared" si="52"/>
        <v>197394029545491.78</v>
      </c>
      <c r="D1149">
        <f t="shared" si="53"/>
        <v>197.39402954549178</v>
      </c>
      <c r="H1149" s="9">
        <v>10866</v>
      </c>
    </row>
    <row r="1150" spans="1:8">
      <c r="A1150">
        <f t="shared" si="51"/>
        <v>1.5190792296148099E-6</v>
      </c>
      <c r="B1150" s="9">
        <v>1.5190792296148099</v>
      </c>
      <c r="C1150">
        <f t="shared" si="52"/>
        <v>197351423253952.22</v>
      </c>
      <c r="D1150">
        <f t="shared" si="53"/>
        <v>197.35142325395222</v>
      </c>
      <c r="H1150" s="9">
        <v>10866</v>
      </c>
    </row>
    <row r="1151" spans="1:8">
      <c r="A1151">
        <f t="shared" si="51"/>
        <v>1.5194071135567798E-6</v>
      </c>
      <c r="B1151" s="9">
        <v>1.5194071135567799</v>
      </c>
      <c r="C1151">
        <f t="shared" si="52"/>
        <v>197308835351057.34</v>
      </c>
      <c r="D1151">
        <f t="shared" si="53"/>
        <v>197.30883535105735</v>
      </c>
      <c r="H1151" s="9">
        <v>10866</v>
      </c>
    </row>
    <row r="1152" spans="1:8">
      <c r="A1152">
        <f t="shared" si="51"/>
        <v>1.51973499749875E-6</v>
      </c>
      <c r="B1152" s="9">
        <v>1.51973499749875</v>
      </c>
      <c r="C1152">
        <f t="shared" si="52"/>
        <v>197266265824905.16</v>
      </c>
      <c r="D1152">
        <f t="shared" si="53"/>
        <v>197.26626582490516</v>
      </c>
      <c r="H1152" s="9">
        <v>10866</v>
      </c>
    </row>
    <row r="1153" spans="1:8">
      <c r="A1153">
        <f t="shared" si="51"/>
        <v>1.5200628814407199E-6</v>
      </c>
      <c r="B1153" s="9">
        <v>1.52006288144072</v>
      </c>
      <c r="C1153">
        <f t="shared" si="52"/>
        <v>197223714663603.81</v>
      </c>
      <c r="D1153">
        <f t="shared" si="53"/>
        <v>197.2237146636038</v>
      </c>
      <c r="H1153" s="9">
        <v>10866</v>
      </c>
    </row>
    <row r="1154" spans="1:8">
      <c r="A1154">
        <f t="shared" si="51"/>
        <v>1.5203907653826901E-6</v>
      </c>
      <c r="B1154" s="9">
        <v>1.52039076538269</v>
      </c>
      <c r="C1154">
        <f t="shared" si="52"/>
        <v>197181181855271.75</v>
      </c>
      <c r="D1154">
        <f t="shared" si="53"/>
        <v>197.18118185527175</v>
      </c>
      <c r="H1154" s="9">
        <v>10866</v>
      </c>
    </row>
    <row r="1155" spans="1:8">
      <c r="A1155">
        <f t="shared" si="51"/>
        <v>1.52071864932466E-6</v>
      </c>
      <c r="B1155" s="9">
        <v>1.5207186493246601</v>
      </c>
      <c r="C1155">
        <f t="shared" si="52"/>
        <v>197138667388037.62</v>
      </c>
      <c r="D1155">
        <f t="shared" si="53"/>
        <v>197.13866738803762</v>
      </c>
      <c r="H1155" s="9">
        <v>10866</v>
      </c>
    </row>
    <row r="1156" spans="1:8">
      <c r="A1156">
        <f t="shared" si="51"/>
        <v>1.5210465332666301E-6</v>
      </c>
      <c r="B1156" s="9">
        <v>1.5210465332666301</v>
      </c>
      <c r="C1156">
        <f t="shared" si="52"/>
        <v>197096171250040.41</v>
      </c>
      <c r="D1156">
        <f t="shared" si="53"/>
        <v>197.09617125004041</v>
      </c>
      <c r="H1156" s="9">
        <v>10866</v>
      </c>
    </row>
    <row r="1157" spans="1:8">
      <c r="A1157">
        <f t="shared" si="51"/>
        <v>1.5213744172085999E-6</v>
      </c>
      <c r="B1157" s="9">
        <v>1.5213744172085999</v>
      </c>
      <c r="C1157">
        <f t="shared" si="52"/>
        <v>197053693429429.22</v>
      </c>
      <c r="D1157">
        <f t="shared" si="53"/>
        <v>197.05369342942922</v>
      </c>
      <c r="H1157" s="9">
        <v>10866</v>
      </c>
    </row>
    <row r="1158" spans="1:8">
      <c r="A1158">
        <f t="shared" si="51"/>
        <v>1.52170230115058E-6</v>
      </c>
      <c r="B1158" s="9">
        <v>1.5217023011505799</v>
      </c>
      <c r="C1158">
        <f t="shared" si="52"/>
        <v>197011233914362.12</v>
      </c>
      <c r="D1158">
        <f t="shared" si="53"/>
        <v>197.01123391436212</v>
      </c>
      <c r="H1158" s="9">
        <v>10866</v>
      </c>
    </row>
    <row r="1159" spans="1:8">
      <c r="A1159">
        <f t="shared" ref="A1159:A1222" si="54">B1159/1000000</f>
        <v>1.5220301850925499E-6</v>
      </c>
      <c r="B1159" s="9">
        <v>1.5220301850925499</v>
      </c>
      <c r="C1159">
        <f t="shared" ref="C1159:C1222" si="55">wavelength_to_freq(B1159)</f>
        <v>196968792693011.25</v>
      </c>
      <c r="D1159">
        <f t="shared" ref="D1159:D1222" si="56">C1159/1000000000000</f>
        <v>196.96879269301124</v>
      </c>
      <c r="H1159" s="9">
        <v>10866</v>
      </c>
    </row>
    <row r="1160" spans="1:8">
      <c r="A1160">
        <f t="shared" si="54"/>
        <v>1.5223580690345201E-6</v>
      </c>
      <c r="B1160" s="9">
        <v>1.52235806903452</v>
      </c>
      <c r="C1160">
        <f t="shared" si="55"/>
        <v>196926369753555.06</v>
      </c>
      <c r="D1160">
        <f t="shared" si="56"/>
        <v>196.92636975355506</v>
      </c>
      <c r="H1160" s="9">
        <v>10866</v>
      </c>
    </row>
    <row r="1161" spans="1:8">
      <c r="A1161">
        <f t="shared" si="54"/>
        <v>1.52268595297649E-6</v>
      </c>
      <c r="B1161" s="9">
        <v>1.52268595297649</v>
      </c>
      <c r="C1161">
        <f t="shared" si="55"/>
        <v>196883965084183.53</v>
      </c>
      <c r="D1161">
        <f t="shared" si="56"/>
        <v>196.88396508418353</v>
      </c>
      <c r="H1161" s="9">
        <v>10866</v>
      </c>
    </row>
    <row r="1162" spans="1:8">
      <c r="A1162">
        <f t="shared" si="54"/>
        <v>1.5230138369184601E-6</v>
      </c>
      <c r="B1162" s="9">
        <v>1.52301383691846</v>
      </c>
      <c r="C1162">
        <f t="shared" si="55"/>
        <v>196841578673096.75</v>
      </c>
      <c r="D1162">
        <f t="shared" si="56"/>
        <v>196.84157867309676</v>
      </c>
      <c r="H1162" s="9">
        <v>10866</v>
      </c>
    </row>
    <row r="1163" spans="1:8">
      <c r="A1163">
        <f t="shared" si="54"/>
        <v>1.5233417208604301E-6</v>
      </c>
      <c r="B1163" s="9">
        <v>1.5233417208604301</v>
      </c>
      <c r="C1163">
        <f t="shared" si="55"/>
        <v>196799210508504.97</v>
      </c>
      <c r="D1163">
        <f t="shared" si="56"/>
        <v>196.79921050850496</v>
      </c>
      <c r="H1163" s="9">
        <v>10866</v>
      </c>
    </row>
    <row r="1164" spans="1:8">
      <c r="A1164">
        <f t="shared" si="54"/>
        <v>1.5236696048024E-6</v>
      </c>
      <c r="B1164" s="9">
        <v>1.5236696048024001</v>
      </c>
      <c r="C1164">
        <f t="shared" si="55"/>
        <v>196756860578628.62</v>
      </c>
      <c r="D1164">
        <f t="shared" si="56"/>
        <v>196.75686057862862</v>
      </c>
      <c r="H1164" s="9">
        <v>10866</v>
      </c>
    </row>
    <row r="1165" spans="1:8">
      <c r="A1165">
        <f t="shared" si="54"/>
        <v>1.5239974887443699E-6</v>
      </c>
      <c r="B1165" s="9">
        <v>1.5239974887443699</v>
      </c>
      <c r="C1165">
        <f t="shared" si="55"/>
        <v>196714528871698.25</v>
      </c>
      <c r="D1165">
        <f t="shared" si="56"/>
        <v>196.71452887169826</v>
      </c>
      <c r="H1165" s="9">
        <v>10866</v>
      </c>
    </row>
    <row r="1166" spans="1:8">
      <c r="A1166">
        <f t="shared" si="54"/>
        <v>1.5243253726863399E-6</v>
      </c>
      <c r="B1166" s="9">
        <v>1.5243253726863399</v>
      </c>
      <c r="C1166">
        <f t="shared" si="55"/>
        <v>196672215375954.53</v>
      </c>
      <c r="D1166">
        <f t="shared" si="56"/>
        <v>196.67221537595452</v>
      </c>
      <c r="H1166" s="9">
        <v>10866</v>
      </c>
    </row>
    <row r="1167" spans="1:8">
      <c r="A1167">
        <f t="shared" si="54"/>
        <v>1.52465325662831E-6</v>
      </c>
      <c r="B1167" s="9">
        <v>1.52465325662831</v>
      </c>
      <c r="C1167">
        <f t="shared" si="55"/>
        <v>196629920079648.25</v>
      </c>
      <c r="D1167">
        <f t="shared" si="56"/>
        <v>196.62992007964826</v>
      </c>
      <c r="H1167" s="9">
        <v>10866</v>
      </c>
    </row>
    <row r="1168" spans="1:8">
      <c r="A1168">
        <f t="shared" si="54"/>
        <v>1.5249811405702899E-6</v>
      </c>
      <c r="B1168" s="9">
        <v>1.52498114057029</v>
      </c>
      <c r="C1168">
        <f t="shared" si="55"/>
        <v>196587642971039</v>
      </c>
      <c r="D1168">
        <f t="shared" si="56"/>
        <v>196.587642971039</v>
      </c>
      <c r="H1168" s="9">
        <v>10866</v>
      </c>
    </row>
    <row r="1169" spans="1:8">
      <c r="A1169">
        <f t="shared" si="54"/>
        <v>1.5253090245122601E-6</v>
      </c>
      <c r="B1169" s="9">
        <v>1.52530902451226</v>
      </c>
      <c r="C1169">
        <f t="shared" si="55"/>
        <v>196545384038400.37</v>
      </c>
      <c r="D1169">
        <f t="shared" si="56"/>
        <v>196.54538403840039</v>
      </c>
      <c r="H1169" s="9">
        <v>10866</v>
      </c>
    </row>
    <row r="1170" spans="1:8">
      <c r="A1170">
        <f t="shared" si="54"/>
        <v>1.52563690845423E-6</v>
      </c>
      <c r="B1170" s="9">
        <v>1.5256369084542301</v>
      </c>
      <c r="C1170">
        <f t="shared" si="55"/>
        <v>196503143270012.16</v>
      </c>
      <c r="D1170">
        <f t="shared" si="56"/>
        <v>196.50314327001215</v>
      </c>
      <c r="H1170" s="9">
        <v>10866</v>
      </c>
    </row>
    <row r="1171" spans="1:8">
      <c r="A1171">
        <f t="shared" si="54"/>
        <v>1.5259647923962001E-6</v>
      </c>
      <c r="B1171" s="9">
        <v>1.5259647923962001</v>
      </c>
      <c r="C1171">
        <f t="shared" si="55"/>
        <v>196460920654165.5</v>
      </c>
      <c r="D1171">
        <f t="shared" si="56"/>
        <v>196.46092065416551</v>
      </c>
      <c r="H1171" s="9">
        <v>10866</v>
      </c>
    </row>
    <row r="1172" spans="1:8">
      <c r="A1172">
        <f t="shared" si="54"/>
        <v>1.5262926763381699E-6</v>
      </c>
      <c r="B1172" s="9">
        <v>1.5262926763381699</v>
      </c>
      <c r="C1172">
        <f t="shared" si="55"/>
        <v>196418716179161.62</v>
      </c>
      <c r="D1172">
        <f t="shared" si="56"/>
        <v>196.41871617916163</v>
      </c>
      <c r="H1172" s="9">
        <v>10866</v>
      </c>
    </row>
    <row r="1173" spans="1:8">
      <c r="A1173">
        <f t="shared" si="54"/>
        <v>1.52662056028014E-6</v>
      </c>
      <c r="B1173" s="9">
        <v>1.5266205602801399</v>
      </c>
      <c r="C1173">
        <f t="shared" si="55"/>
        <v>196376529833311.75</v>
      </c>
      <c r="D1173">
        <f t="shared" si="56"/>
        <v>196.37652983331176</v>
      </c>
      <c r="H1173" s="9">
        <v>10866</v>
      </c>
    </row>
    <row r="1174" spans="1:8">
      <c r="A1174">
        <f t="shared" si="54"/>
        <v>1.52694844422211E-6</v>
      </c>
      <c r="B1174" s="9">
        <v>1.52694844422211</v>
      </c>
      <c r="C1174">
        <f t="shared" si="55"/>
        <v>196334361604937.19</v>
      </c>
      <c r="D1174">
        <f t="shared" si="56"/>
        <v>196.33436160493719</v>
      </c>
      <c r="H1174" s="9">
        <v>10866</v>
      </c>
    </row>
    <row r="1175" spans="1:8">
      <c r="A1175">
        <f t="shared" si="54"/>
        <v>1.5272763281640799E-6</v>
      </c>
      <c r="B1175" s="9">
        <v>1.52727632816408</v>
      </c>
      <c r="C1175">
        <f t="shared" si="55"/>
        <v>196292211482369.28</v>
      </c>
      <c r="D1175">
        <f t="shared" si="56"/>
        <v>196.29221148236928</v>
      </c>
      <c r="H1175" s="9">
        <v>10866</v>
      </c>
    </row>
    <row r="1176" spans="1:8">
      <c r="A1176">
        <f t="shared" si="54"/>
        <v>1.52760421210605E-6</v>
      </c>
      <c r="B1176" s="9">
        <v>1.52760421210605</v>
      </c>
      <c r="C1176">
        <f t="shared" si="55"/>
        <v>196250079453949.34</v>
      </c>
      <c r="D1176">
        <f t="shared" si="56"/>
        <v>196.25007945394935</v>
      </c>
      <c r="H1176" s="9">
        <v>10866</v>
      </c>
    </row>
    <row r="1177" spans="1:8">
      <c r="A1177">
        <f t="shared" si="54"/>
        <v>1.52793209604802E-6</v>
      </c>
      <c r="B1177" s="9">
        <v>1.52793209604802</v>
      </c>
      <c r="C1177">
        <f t="shared" si="55"/>
        <v>196207965508028.75</v>
      </c>
      <c r="D1177">
        <f t="shared" si="56"/>
        <v>196.20796550802876</v>
      </c>
      <c r="H1177" s="9">
        <v>10866</v>
      </c>
    </row>
    <row r="1178" spans="1:8">
      <c r="A1178">
        <f t="shared" si="54"/>
        <v>1.5282599799899901E-6</v>
      </c>
      <c r="B1178" s="9">
        <v>1.5282599799899901</v>
      </c>
      <c r="C1178">
        <f t="shared" si="55"/>
        <v>196165869632968.87</v>
      </c>
      <c r="D1178">
        <f t="shared" si="56"/>
        <v>196.16586963296888</v>
      </c>
      <c r="H1178" s="9">
        <v>10866</v>
      </c>
    </row>
    <row r="1179" spans="1:8">
      <c r="A1179">
        <f t="shared" si="54"/>
        <v>1.52858786393197E-6</v>
      </c>
      <c r="B1179" s="9">
        <v>1.5285878639319701</v>
      </c>
      <c r="C1179">
        <f t="shared" si="55"/>
        <v>196123791817139.72</v>
      </c>
      <c r="D1179">
        <f t="shared" si="56"/>
        <v>196.12379181713973</v>
      </c>
      <c r="H1179" s="9">
        <v>10866</v>
      </c>
    </row>
    <row r="1180" spans="1:8">
      <c r="A1180">
        <f t="shared" si="54"/>
        <v>1.5289157478739399E-6</v>
      </c>
      <c r="B1180" s="9">
        <v>1.5289157478739399</v>
      </c>
      <c r="C1180">
        <f t="shared" si="55"/>
        <v>196081732048925.22</v>
      </c>
      <c r="D1180">
        <f t="shared" si="56"/>
        <v>196.08173204892523</v>
      </c>
      <c r="H1180" s="9">
        <v>10866</v>
      </c>
    </row>
    <row r="1181" spans="1:8">
      <c r="A1181">
        <f t="shared" si="54"/>
        <v>1.5292436318159099E-6</v>
      </c>
      <c r="B1181" s="9">
        <v>1.5292436318159099</v>
      </c>
      <c r="C1181">
        <f t="shared" si="55"/>
        <v>196039690316715.31</v>
      </c>
      <c r="D1181">
        <f t="shared" si="56"/>
        <v>196.03969031671531</v>
      </c>
      <c r="H1181" s="9">
        <v>10866</v>
      </c>
    </row>
    <row r="1182" spans="1:8">
      <c r="A1182">
        <f t="shared" si="54"/>
        <v>1.52957151575788E-6</v>
      </c>
      <c r="B1182" s="9">
        <v>1.52957151575788</v>
      </c>
      <c r="C1182">
        <f t="shared" si="55"/>
        <v>195997666608911.25</v>
      </c>
      <c r="D1182">
        <f t="shared" si="56"/>
        <v>195.99766660891126</v>
      </c>
      <c r="H1182" s="9">
        <v>10866</v>
      </c>
    </row>
    <row r="1183" spans="1:8">
      <c r="A1183">
        <f t="shared" si="54"/>
        <v>1.52989939969985E-6</v>
      </c>
      <c r="B1183" s="9">
        <v>1.52989939969985</v>
      </c>
      <c r="C1183">
        <f t="shared" si="55"/>
        <v>195955660913924.22</v>
      </c>
      <c r="D1183">
        <f t="shared" si="56"/>
        <v>195.95566091392422</v>
      </c>
      <c r="H1183" s="9">
        <v>10866</v>
      </c>
    </row>
    <row r="1184" spans="1:8">
      <c r="A1184">
        <f t="shared" si="54"/>
        <v>1.5302272836418201E-6</v>
      </c>
      <c r="B1184" s="9">
        <v>1.53022728364182</v>
      </c>
      <c r="C1184">
        <f t="shared" si="55"/>
        <v>195913673220175.28</v>
      </c>
      <c r="D1184">
        <f t="shared" si="56"/>
        <v>195.91367322017527</v>
      </c>
      <c r="H1184" s="9">
        <v>10866</v>
      </c>
    </row>
    <row r="1185" spans="1:8">
      <c r="A1185">
        <f t="shared" si="54"/>
        <v>1.53055516758379E-6</v>
      </c>
      <c r="B1185" s="9">
        <v>1.5305551675837901</v>
      </c>
      <c r="C1185">
        <f t="shared" si="55"/>
        <v>195871703516095.5</v>
      </c>
      <c r="D1185">
        <f t="shared" si="56"/>
        <v>195.87170351609549</v>
      </c>
      <c r="H1185" s="9">
        <v>10866</v>
      </c>
    </row>
    <row r="1186" spans="1:8">
      <c r="A1186">
        <f t="shared" si="54"/>
        <v>1.5308830515257602E-6</v>
      </c>
      <c r="B1186" s="9">
        <v>1.5308830515257601</v>
      </c>
      <c r="C1186">
        <f t="shared" si="55"/>
        <v>195829751790125.81</v>
      </c>
      <c r="D1186">
        <f t="shared" si="56"/>
        <v>195.82975179012581</v>
      </c>
      <c r="H1186" s="9">
        <v>10866</v>
      </c>
    </row>
    <row r="1187" spans="1:8">
      <c r="A1187">
        <f t="shared" si="54"/>
        <v>1.5312109354677299E-6</v>
      </c>
      <c r="B1187" s="9">
        <v>1.5312109354677299</v>
      </c>
      <c r="C1187">
        <f t="shared" si="55"/>
        <v>195787818030717.09</v>
      </c>
      <c r="D1187">
        <f t="shared" si="56"/>
        <v>195.78781803071709</v>
      </c>
      <c r="H1187" s="9">
        <v>10866</v>
      </c>
    </row>
    <row r="1188" spans="1:8">
      <c r="A1188">
        <f t="shared" si="54"/>
        <v>1.5315388194096998E-6</v>
      </c>
      <c r="B1188" s="9">
        <v>1.5315388194096999</v>
      </c>
      <c r="C1188">
        <f t="shared" si="55"/>
        <v>195745902226330</v>
      </c>
      <c r="D1188">
        <f t="shared" si="56"/>
        <v>195.74590222633</v>
      </c>
      <c r="H1188" s="9">
        <v>10866</v>
      </c>
    </row>
    <row r="1189" spans="1:8">
      <c r="A1189">
        <f t="shared" si="54"/>
        <v>1.5318667033516799E-6</v>
      </c>
      <c r="B1189" s="9">
        <v>1.53186670335168</v>
      </c>
      <c r="C1189">
        <f t="shared" si="55"/>
        <v>195704004365433.91</v>
      </c>
      <c r="D1189">
        <f t="shared" si="56"/>
        <v>195.70400436543392</v>
      </c>
      <c r="H1189" s="9">
        <v>10866</v>
      </c>
    </row>
    <row r="1190" spans="1:8">
      <c r="A1190">
        <f t="shared" si="54"/>
        <v>1.5321945872936499E-6</v>
      </c>
      <c r="B1190" s="9">
        <v>1.53219458729365</v>
      </c>
      <c r="C1190">
        <f t="shared" si="55"/>
        <v>195662124436511.81</v>
      </c>
      <c r="D1190">
        <f t="shared" si="56"/>
        <v>195.66212443651182</v>
      </c>
      <c r="H1190" s="9">
        <v>10866</v>
      </c>
    </row>
    <row r="1191" spans="1:8">
      <c r="A1191">
        <f t="shared" si="54"/>
        <v>1.53252247123562E-6</v>
      </c>
      <c r="B1191" s="9">
        <v>1.53252247123562</v>
      </c>
      <c r="C1191">
        <f t="shared" si="55"/>
        <v>195620262428052.81</v>
      </c>
      <c r="D1191">
        <f t="shared" si="56"/>
        <v>195.62026242805283</v>
      </c>
      <c r="H1191" s="9">
        <v>10866</v>
      </c>
    </row>
    <row r="1192" spans="1:8">
      <c r="A1192">
        <f t="shared" si="54"/>
        <v>1.53285035517759E-6</v>
      </c>
      <c r="B1192" s="9">
        <v>1.5328503551775901</v>
      </c>
      <c r="C1192">
        <f t="shared" si="55"/>
        <v>195578418328557.06</v>
      </c>
      <c r="D1192">
        <f t="shared" si="56"/>
        <v>195.57841832855706</v>
      </c>
      <c r="H1192" s="9">
        <v>10866</v>
      </c>
    </row>
    <row r="1193" spans="1:8">
      <c r="A1193">
        <f t="shared" si="54"/>
        <v>1.5331782391195601E-6</v>
      </c>
      <c r="B1193" s="9">
        <v>1.5331782391195601</v>
      </c>
      <c r="C1193">
        <f t="shared" si="55"/>
        <v>195536592126534.62</v>
      </c>
      <c r="D1193">
        <f t="shared" si="56"/>
        <v>195.53659212653463</v>
      </c>
      <c r="H1193" s="9">
        <v>10866</v>
      </c>
    </row>
    <row r="1194" spans="1:8">
      <c r="A1194">
        <f t="shared" si="54"/>
        <v>1.5335061230615298E-6</v>
      </c>
      <c r="B1194" s="9">
        <v>1.5335061230615299</v>
      </c>
      <c r="C1194">
        <f t="shared" si="55"/>
        <v>195494783810505.34</v>
      </c>
      <c r="D1194">
        <f t="shared" si="56"/>
        <v>195.49478381050534</v>
      </c>
      <c r="H1194" s="9">
        <v>10866</v>
      </c>
    </row>
    <row r="1195" spans="1:8">
      <c r="A1195">
        <f t="shared" si="54"/>
        <v>1.5338340070035E-6</v>
      </c>
      <c r="B1195" s="9">
        <v>1.5338340070034999</v>
      </c>
      <c r="C1195">
        <f t="shared" si="55"/>
        <v>195452993368998.84</v>
      </c>
      <c r="D1195">
        <f t="shared" si="56"/>
        <v>195.45299336899885</v>
      </c>
      <c r="H1195" s="9">
        <v>10866</v>
      </c>
    </row>
    <row r="1196" spans="1:8">
      <c r="A1196">
        <f t="shared" si="54"/>
        <v>1.5341618909454699E-6</v>
      </c>
      <c r="B1196" s="9">
        <v>1.53416189094547</v>
      </c>
      <c r="C1196">
        <f t="shared" si="55"/>
        <v>195411220790554.62</v>
      </c>
      <c r="D1196">
        <f t="shared" si="56"/>
        <v>195.41122079055464</v>
      </c>
      <c r="H1196" s="9">
        <v>10866</v>
      </c>
    </row>
    <row r="1197" spans="1:8">
      <c r="A1197">
        <f t="shared" si="54"/>
        <v>1.5344897748874401E-6</v>
      </c>
      <c r="B1197" s="9">
        <v>1.53448977488744</v>
      </c>
      <c r="C1197">
        <f t="shared" si="55"/>
        <v>195369466063721.94</v>
      </c>
      <c r="D1197">
        <f t="shared" si="56"/>
        <v>195.36946606372194</v>
      </c>
      <c r="H1197" s="9">
        <v>10866</v>
      </c>
    </row>
    <row r="1198" spans="1:8">
      <c r="A1198">
        <f t="shared" si="54"/>
        <v>1.53481765882941E-6</v>
      </c>
      <c r="B1198" s="9">
        <v>1.53481765882941</v>
      </c>
      <c r="C1198">
        <f t="shared" si="55"/>
        <v>195327729177059.81</v>
      </c>
      <c r="D1198">
        <f t="shared" si="56"/>
        <v>195.32772917705981</v>
      </c>
      <c r="H1198" s="9">
        <v>10866</v>
      </c>
    </row>
    <row r="1199" spans="1:8">
      <c r="A1199">
        <f t="shared" si="54"/>
        <v>1.5351455427713901E-6</v>
      </c>
      <c r="B1199" s="9">
        <v>1.53514554277139</v>
      </c>
      <c r="C1199">
        <f t="shared" si="55"/>
        <v>195286010119135.87</v>
      </c>
      <c r="D1199">
        <f t="shared" si="56"/>
        <v>195.28601011913588</v>
      </c>
      <c r="H1199" s="9">
        <v>10866</v>
      </c>
    </row>
    <row r="1200" spans="1:8">
      <c r="A1200">
        <f t="shared" si="54"/>
        <v>1.53547342671336E-6</v>
      </c>
      <c r="B1200" s="9">
        <v>1.5354734267133601</v>
      </c>
      <c r="C1200">
        <f t="shared" si="55"/>
        <v>195244308878531.19</v>
      </c>
      <c r="D1200">
        <f t="shared" si="56"/>
        <v>195.2443088785312</v>
      </c>
      <c r="H1200" s="9">
        <v>10866</v>
      </c>
    </row>
    <row r="1201" spans="1:8">
      <c r="A1201">
        <f t="shared" si="54"/>
        <v>1.5358013106553302E-6</v>
      </c>
      <c r="B1201" s="9">
        <v>1.5358013106553301</v>
      </c>
      <c r="C1201">
        <f t="shared" si="55"/>
        <v>195202625443832.87</v>
      </c>
      <c r="D1201">
        <f t="shared" si="56"/>
        <v>195.20262544383289</v>
      </c>
      <c r="H1201" s="9">
        <v>10866</v>
      </c>
    </row>
    <row r="1202" spans="1:8">
      <c r="A1202">
        <f t="shared" si="54"/>
        <v>1.5361291945972999E-6</v>
      </c>
      <c r="B1202" s="9">
        <v>1.5361291945972999</v>
      </c>
      <c r="C1202">
        <f t="shared" si="55"/>
        <v>195160959803639</v>
      </c>
      <c r="D1202">
        <f t="shared" si="56"/>
        <v>195.160959803639</v>
      </c>
      <c r="H1202" s="9">
        <v>10866</v>
      </c>
    </row>
    <row r="1203" spans="1:8">
      <c r="A1203">
        <f t="shared" si="54"/>
        <v>1.5364570785392698E-6</v>
      </c>
      <c r="B1203" s="9">
        <v>1.5364570785392699</v>
      </c>
      <c r="C1203">
        <f t="shared" si="55"/>
        <v>195119311946557.37</v>
      </c>
      <c r="D1203">
        <f t="shared" si="56"/>
        <v>195.11931194655739</v>
      </c>
      <c r="H1203" s="9">
        <v>10866</v>
      </c>
    </row>
    <row r="1204" spans="1:8">
      <c r="A1204">
        <f t="shared" si="54"/>
        <v>1.53678496248124E-6</v>
      </c>
      <c r="B1204" s="9">
        <v>1.53678496248124</v>
      </c>
      <c r="C1204">
        <f t="shared" si="55"/>
        <v>195077681861205.53</v>
      </c>
      <c r="D1204">
        <f t="shared" si="56"/>
        <v>195.07768186120552</v>
      </c>
      <c r="H1204" s="9">
        <v>10866</v>
      </c>
    </row>
    <row r="1205" spans="1:8">
      <c r="A1205">
        <f t="shared" si="54"/>
        <v>1.5371128464232099E-6</v>
      </c>
      <c r="B1205" s="9">
        <v>1.53711284642321</v>
      </c>
      <c r="C1205">
        <f t="shared" si="55"/>
        <v>195036069536210.75</v>
      </c>
      <c r="D1205">
        <f t="shared" si="56"/>
        <v>195.03606953621076</v>
      </c>
      <c r="H1205" s="9">
        <v>10866</v>
      </c>
    </row>
    <row r="1206" spans="1:8">
      <c r="A1206">
        <f t="shared" si="54"/>
        <v>1.5374407303651801E-6</v>
      </c>
      <c r="B1206" s="9">
        <v>1.53744073036518</v>
      </c>
      <c r="C1206">
        <f t="shared" si="55"/>
        <v>194994474960209.97</v>
      </c>
      <c r="D1206">
        <f t="shared" si="56"/>
        <v>194.99447496020997</v>
      </c>
      <c r="H1206" s="9">
        <v>10866</v>
      </c>
    </row>
    <row r="1207" spans="1:8">
      <c r="A1207">
        <f t="shared" si="54"/>
        <v>1.53776861430715E-6</v>
      </c>
      <c r="B1207" s="9">
        <v>1.5377686143071501</v>
      </c>
      <c r="C1207">
        <f t="shared" si="55"/>
        <v>194952898121849.81</v>
      </c>
      <c r="D1207">
        <f t="shared" si="56"/>
        <v>194.95289812184981</v>
      </c>
      <c r="H1207" s="9">
        <v>10866</v>
      </c>
    </row>
    <row r="1208" spans="1:8">
      <c r="A1208">
        <f t="shared" si="54"/>
        <v>1.5380964982491202E-6</v>
      </c>
      <c r="B1208" s="9">
        <v>1.5380964982491201</v>
      </c>
      <c r="C1208">
        <f t="shared" si="55"/>
        <v>194911339009786.69</v>
      </c>
      <c r="D1208">
        <f t="shared" si="56"/>
        <v>194.9113390097867</v>
      </c>
      <c r="H1208" s="9">
        <v>10866</v>
      </c>
    </row>
    <row r="1209" spans="1:8">
      <c r="A1209">
        <f t="shared" si="54"/>
        <v>1.5384243821910998E-6</v>
      </c>
      <c r="B1209" s="9">
        <v>1.5384243821910999</v>
      </c>
      <c r="C1209">
        <f t="shared" si="55"/>
        <v>194869797612685.25</v>
      </c>
      <c r="D1209">
        <f t="shared" si="56"/>
        <v>194.86979761268526</v>
      </c>
      <c r="H1209" s="9">
        <v>10866</v>
      </c>
    </row>
    <row r="1210" spans="1:8">
      <c r="A1210">
        <f t="shared" si="54"/>
        <v>1.53875226613307E-6</v>
      </c>
      <c r="B1210" s="9">
        <v>1.5387522661330699</v>
      </c>
      <c r="C1210">
        <f t="shared" si="55"/>
        <v>194828273919223.72</v>
      </c>
      <c r="D1210">
        <f t="shared" si="56"/>
        <v>194.82827391922373</v>
      </c>
      <c r="H1210" s="9">
        <v>10866</v>
      </c>
    </row>
    <row r="1211" spans="1:8">
      <c r="A1211">
        <f t="shared" si="54"/>
        <v>1.5390801500750399E-6</v>
      </c>
      <c r="B1211" s="9">
        <v>1.53908015007504</v>
      </c>
      <c r="C1211">
        <f t="shared" si="55"/>
        <v>194786767918086.16</v>
      </c>
      <c r="D1211">
        <f t="shared" si="56"/>
        <v>194.78676791808616</v>
      </c>
      <c r="H1211" s="9">
        <v>10866</v>
      </c>
    </row>
    <row r="1212" spans="1:8">
      <c r="A1212">
        <f t="shared" si="54"/>
        <v>1.5394080340170101E-6</v>
      </c>
      <c r="B1212" s="9">
        <v>1.53940803401701</v>
      </c>
      <c r="C1212">
        <f t="shared" si="55"/>
        <v>194745279597967.44</v>
      </c>
      <c r="D1212">
        <f t="shared" si="56"/>
        <v>194.74527959796742</v>
      </c>
      <c r="H1212" s="9">
        <v>10866</v>
      </c>
    </row>
    <row r="1213" spans="1:8">
      <c r="A1213">
        <f t="shared" si="54"/>
        <v>1.53973591795898E-6</v>
      </c>
      <c r="B1213" s="9">
        <v>1.53973591795898</v>
      </c>
      <c r="C1213">
        <f t="shared" si="55"/>
        <v>194703808947572.22</v>
      </c>
      <c r="D1213">
        <f t="shared" si="56"/>
        <v>194.70380894757221</v>
      </c>
      <c r="H1213" s="9">
        <v>10866</v>
      </c>
    </row>
    <row r="1214" spans="1:8">
      <c r="A1214">
        <f t="shared" si="54"/>
        <v>1.5400638019009499E-6</v>
      </c>
      <c r="B1214" s="9">
        <v>1.54006380190095</v>
      </c>
      <c r="C1214">
        <f t="shared" si="55"/>
        <v>194662355955614.69</v>
      </c>
      <c r="D1214">
        <f t="shared" si="56"/>
        <v>194.66235595561469</v>
      </c>
      <c r="H1214" s="9">
        <v>10866</v>
      </c>
    </row>
    <row r="1215" spans="1:8">
      <c r="A1215">
        <f t="shared" si="54"/>
        <v>1.5403916858429201E-6</v>
      </c>
      <c r="B1215" s="9">
        <v>1.5403916858429201</v>
      </c>
      <c r="C1215">
        <f t="shared" si="55"/>
        <v>194620920610818.62</v>
      </c>
      <c r="D1215">
        <f t="shared" si="56"/>
        <v>194.62092061081862</v>
      </c>
      <c r="H1215" s="9">
        <v>10866</v>
      </c>
    </row>
    <row r="1216" spans="1:8">
      <c r="A1216">
        <f t="shared" si="54"/>
        <v>1.54071956978489E-6</v>
      </c>
      <c r="B1216" s="9">
        <v>1.5407195697848901</v>
      </c>
      <c r="C1216">
        <f t="shared" si="55"/>
        <v>194579502901917.44</v>
      </c>
      <c r="D1216">
        <f t="shared" si="56"/>
        <v>194.57950290191744</v>
      </c>
      <c r="H1216" s="9">
        <v>10866</v>
      </c>
    </row>
    <row r="1217" spans="1:8">
      <c r="A1217">
        <f t="shared" si="54"/>
        <v>1.54104745372686E-6</v>
      </c>
      <c r="B1217" s="9">
        <v>1.5410474537268599</v>
      </c>
      <c r="C1217">
        <f t="shared" si="55"/>
        <v>194538102817654.16</v>
      </c>
      <c r="D1217">
        <f t="shared" si="56"/>
        <v>194.53810281765416</v>
      </c>
      <c r="H1217" s="9">
        <v>10866</v>
      </c>
    </row>
    <row r="1218" spans="1:8">
      <c r="A1218">
        <f t="shared" si="54"/>
        <v>1.5413753376688299E-6</v>
      </c>
      <c r="B1218" s="9">
        <v>1.5413753376688299</v>
      </c>
      <c r="C1218">
        <f t="shared" si="55"/>
        <v>194496720346781.28</v>
      </c>
      <c r="D1218">
        <f t="shared" si="56"/>
        <v>194.49672034678127</v>
      </c>
      <c r="H1218" s="9">
        <v>10866</v>
      </c>
    </row>
    <row r="1219" spans="1:8">
      <c r="A1219">
        <f t="shared" si="54"/>
        <v>1.54170322161081E-6</v>
      </c>
      <c r="B1219" s="9">
        <v>1.54170322161081</v>
      </c>
      <c r="C1219">
        <f t="shared" si="55"/>
        <v>194455355478059.75</v>
      </c>
      <c r="D1219">
        <f t="shared" si="56"/>
        <v>194.45535547805974</v>
      </c>
      <c r="H1219" s="9">
        <v>10866</v>
      </c>
    </row>
    <row r="1220" spans="1:8">
      <c r="A1220">
        <f t="shared" si="54"/>
        <v>1.5420311055527799E-6</v>
      </c>
      <c r="B1220" s="9">
        <v>1.54203110555278</v>
      </c>
      <c r="C1220">
        <f t="shared" si="55"/>
        <v>194414008200263.78</v>
      </c>
      <c r="D1220">
        <f t="shared" si="56"/>
        <v>194.41400820026379</v>
      </c>
      <c r="H1220" s="9">
        <v>10866</v>
      </c>
    </row>
    <row r="1221" spans="1:8">
      <c r="A1221">
        <f t="shared" si="54"/>
        <v>1.5423589894947501E-6</v>
      </c>
      <c r="B1221" s="9">
        <v>1.54235898949475</v>
      </c>
      <c r="C1221">
        <f t="shared" si="55"/>
        <v>194372678502173.34</v>
      </c>
      <c r="D1221">
        <f t="shared" si="56"/>
        <v>194.37267850217336</v>
      </c>
      <c r="H1221" s="9">
        <v>10866</v>
      </c>
    </row>
    <row r="1222" spans="1:8">
      <c r="A1222">
        <f t="shared" si="54"/>
        <v>1.54268687343672E-6</v>
      </c>
      <c r="B1222" s="9">
        <v>1.5426868734367201</v>
      </c>
      <c r="C1222">
        <f t="shared" si="55"/>
        <v>194331366372579.22</v>
      </c>
      <c r="D1222">
        <f t="shared" si="56"/>
        <v>194.33136637257923</v>
      </c>
      <c r="H1222" s="9">
        <v>10866</v>
      </c>
    </row>
    <row r="1223" spans="1:8">
      <c r="A1223">
        <f t="shared" ref="A1223:A1286" si="57">B1223/1000000</f>
        <v>1.5430147573786902E-6</v>
      </c>
      <c r="B1223" s="9">
        <v>1.5430147573786901</v>
      </c>
      <c r="C1223">
        <f t="shared" ref="C1223:C1286" si="58">wavelength_to_freq(B1223)</f>
        <v>194290071800281.75</v>
      </c>
      <c r="D1223">
        <f t="shared" ref="D1223:D1286" si="59">C1223/1000000000000</f>
        <v>194.29007180028174</v>
      </c>
      <c r="H1223" s="9">
        <v>10866</v>
      </c>
    </row>
    <row r="1224" spans="1:8">
      <c r="A1224">
        <f t="shared" si="57"/>
        <v>1.5433426413206599E-6</v>
      </c>
      <c r="B1224" s="9">
        <v>1.5433426413206599</v>
      </c>
      <c r="C1224">
        <f t="shared" si="58"/>
        <v>194248794774090.75</v>
      </c>
      <c r="D1224">
        <f t="shared" si="59"/>
        <v>194.24879477409075</v>
      </c>
      <c r="H1224" s="9">
        <v>10866</v>
      </c>
    </row>
    <row r="1225" spans="1:8">
      <c r="A1225">
        <f t="shared" si="57"/>
        <v>1.54367052526263E-6</v>
      </c>
      <c r="B1225" s="9">
        <v>1.5436705252626299</v>
      </c>
      <c r="C1225">
        <f t="shared" si="58"/>
        <v>194207535282825.53</v>
      </c>
      <c r="D1225">
        <f t="shared" si="59"/>
        <v>194.20753528282552</v>
      </c>
      <c r="H1225" s="9">
        <v>10866</v>
      </c>
    </row>
    <row r="1226" spans="1:8">
      <c r="A1226">
        <f t="shared" si="57"/>
        <v>1.5439984092046E-6</v>
      </c>
      <c r="B1226" s="9">
        <v>1.5439984092046</v>
      </c>
      <c r="C1226">
        <f t="shared" si="58"/>
        <v>194166293315314.94</v>
      </c>
      <c r="D1226">
        <f t="shared" si="59"/>
        <v>194.16629331531493</v>
      </c>
      <c r="H1226" s="9">
        <v>10866</v>
      </c>
    </row>
    <row r="1227" spans="1:8">
      <c r="A1227">
        <f t="shared" si="57"/>
        <v>1.5443262931465699E-6</v>
      </c>
      <c r="B1227" s="9">
        <v>1.54432629314657</v>
      </c>
      <c r="C1227">
        <f t="shared" si="58"/>
        <v>194125068860397.28</v>
      </c>
      <c r="D1227">
        <f t="shared" si="59"/>
        <v>194.12506886039728</v>
      </c>
      <c r="H1227" s="9">
        <v>10866</v>
      </c>
    </row>
    <row r="1228" spans="1:8">
      <c r="A1228">
        <f t="shared" si="57"/>
        <v>1.5446541770885401E-6</v>
      </c>
      <c r="B1228" s="9">
        <v>1.54465417708854</v>
      </c>
      <c r="C1228">
        <f t="shared" si="58"/>
        <v>194083861906920.41</v>
      </c>
      <c r="D1228">
        <f t="shared" si="59"/>
        <v>194.08386190692042</v>
      </c>
      <c r="H1228" s="9">
        <v>10866</v>
      </c>
    </row>
    <row r="1229" spans="1:8">
      <c r="A1229">
        <f t="shared" si="57"/>
        <v>1.5449820610305202E-6</v>
      </c>
      <c r="B1229" s="9">
        <v>1.54498206103052</v>
      </c>
      <c r="C1229">
        <f t="shared" si="58"/>
        <v>194042672443740.31</v>
      </c>
      <c r="D1229">
        <f t="shared" si="59"/>
        <v>194.04267244374032</v>
      </c>
      <c r="H1229" s="9">
        <v>10866</v>
      </c>
    </row>
    <row r="1230" spans="1:8">
      <c r="A1230">
        <f t="shared" si="57"/>
        <v>1.5453099449724901E-6</v>
      </c>
      <c r="B1230" s="9">
        <v>1.5453099449724901</v>
      </c>
      <c r="C1230">
        <f t="shared" si="58"/>
        <v>194001500459726.19</v>
      </c>
      <c r="D1230">
        <f t="shared" si="59"/>
        <v>194.00150045972617</v>
      </c>
      <c r="H1230" s="9">
        <v>10866</v>
      </c>
    </row>
    <row r="1231" spans="1:8">
      <c r="A1231">
        <f t="shared" si="57"/>
        <v>1.54563782891446E-6</v>
      </c>
      <c r="B1231" s="9">
        <v>1.5456378289144601</v>
      </c>
      <c r="C1231">
        <f t="shared" si="58"/>
        <v>193960345943753</v>
      </c>
      <c r="D1231">
        <f t="shared" si="59"/>
        <v>193.960345943753</v>
      </c>
      <c r="H1231" s="9">
        <v>10866</v>
      </c>
    </row>
    <row r="1232" spans="1:8">
      <c r="A1232">
        <f t="shared" si="57"/>
        <v>1.54596571285643E-6</v>
      </c>
      <c r="B1232" s="9">
        <v>1.5459657128564299</v>
      </c>
      <c r="C1232">
        <f t="shared" si="58"/>
        <v>193919208884706.34</v>
      </c>
      <c r="D1232">
        <f t="shared" si="59"/>
        <v>193.91920888470634</v>
      </c>
      <c r="H1232" s="9">
        <v>10866</v>
      </c>
    </row>
    <row r="1233" spans="1:8">
      <c r="A1233">
        <f t="shared" si="57"/>
        <v>1.5462935967983999E-6</v>
      </c>
      <c r="B1233" s="9">
        <v>1.5462935967983999</v>
      </c>
      <c r="C1233">
        <f t="shared" si="58"/>
        <v>193878089271481.25</v>
      </c>
      <c r="D1233">
        <f t="shared" si="59"/>
        <v>193.87808927148126</v>
      </c>
      <c r="H1233" s="9">
        <v>10866</v>
      </c>
    </row>
    <row r="1234" spans="1:8">
      <c r="A1234">
        <f t="shared" si="57"/>
        <v>1.54662148074037E-6</v>
      </c>
      <c r="B1234" s="9">
        <v>1.54662148074037</v>
      </c>
      <c r="C1234">
        <f t="shared" si="58"/>
        <v>193836987092982.12</v>
      </c>
      <c r="D1234">
        <f t="shared" si="59"/>
        <v>193.83698709298213</v>
      </c>
      <c r="H1234" s="9">
        <v>10866</v>
      </c>
    </row>
    <row r="1235" spans="1:8">
      <c r="A1235">
        <f t="shared" si="57"/>
        <v>1.54694936468234E-6</v>
      </c>
      <c r="B1235" s="9">
        <v>1.54694936468234</v>
      </c>
      <c r="C1235">
        <f t="shared" si="58"/>
        <v>193795902338122.87</v>
      </c>
      <c r="D1235">
        <f t="shared" si="59"/>
        <v>193.79590233812289</v>
      </c>
      <c r="H1235" s="9">
        <v>10866</v>
      </c>
    </row>
    <row r="1236" spans="1:8">
      <c r="A1236">
        <f t="shared" si="57"/>
        <v>1.5472772486243101E-6</v>
      </c>
      <c r="B1236" s="9">
        <v>1.54727724862431</v>
      </c>
      <c r="C1236">
        <f t="shared" si="58"/>
        <v>193754834995826.75</v>
      </c>
      <c r="D1236">
        <f t="shared" si="59"/>
        <v>193.75483499582674</v>
      </c>
      <c r="H1236" s="9">
        <v>10866</v>
      </c>
    </row>
    <row r="1237" spans="1:8">
      <c r="A1237">
        <f t="shared" si="57"/>
        <v>1.5476051325662801E-6</v>
      </c>
      <c r="B1237" s="9">
        <v>1.5476051325662801</v>
      </c>
      <c r="C1237">
        <f t="shared" si="58"/>
        <v>193713785055026.37</v>
      </c>
      <c r="D1237">
        <f t="shared" si="59"/>
        <v>193.71378505502636</v>
      </c>
      <c r="H1237" s="9">
        <v>10866</v>
      </c>
    </row>
    <row r="1238" spans="1:8">
      <c r="A1238">
        <f t="shared" si="57"/>
        <v>1.5479330165082502E-6</v>
      </c>
      <c r="B1238" s="9">
        <v>1.5479330165082501</v>
      </c>
      <c r="C1238">
        <f t="shared" si="58"/>
        <v>193672752504663.81</v>
      </c>
      <c r="D1238">
        <f t="shared" si="59"/>
        <v>193.6727525046638</v>
      </c>
      <c r="H1238" s="9">
        <v>10866</v>
      </c>
    </row>
    <row r="1239" spans="1:8">
      <c r="A1239">
        <f t="shared" si="57"/>
        <v>1.5482609004502299E-6</v>
      </c>
      <c r="B1239" s="9">
        <v>1.5482609004502299</v>
      </c>
      <c r="C1239">
        <f t="shared" si="58"/>
        <v>193631737333689.19</v>
      </c>
      <c r="D1239">
        <f t="shared" si="59"/>
        <v>193.63173733368919</v>
      </c>
      <c r="H1239" s="9">
        <v>10866</v>
      </c>
    </row>
    <row r="1240" spans="1:8">
      <c r="A1240">
        <f t="shared" si="57"/>
        <v>1.5485887843922E-6</v>
      </c>
      <c r="B1240" s="9">
        <v>1.5485887843921999</v>
      </c>
      <c r="C1240">
        <f t="shared" si="58"/>
        <v>193590739531065.69</v>
      </c>
      <c r="D1240">
        <f t="shared" si="59"/>
        <v>193.59073953106568</v>
      </c>
      <c r="H1240" s="9">
        <v>10866</v>
      </c>
    </row>
    <row r="1241" spans="1:8">
      <c r="A1241">
        <f t="shared" si="57"/>
        <v>1.54891666833417E-6</v>
      </c>
      <c r="B1241" s="9">
        <v>1.54891666833417</v>
      </c>
      <c r="C1241">
        <f t="shared" si="58"/>
        <v>193549759085762.19</v>
      </c>
      <c r="D1241">
        <f t="shared" si="59"/>
        <v>193.54975908576219</v>
      </c>
      <c r="H1241" s="9">
        <v>10866</v>
      </c>
    </row>
    <row r="1242" spans="1:8">
      <c r="A1242">
        <f t="shared" si="57"/>
        <v>1.5492445522761399E-6</v>
      </c>
      <c r="B1242" s="9">
        <v>1.54924455227614</v>
      </c>
      <c r="C1242">
        <f t="shared" si="58"/>
        <v>193508795986758.12</v>
      </c>
      <c r="D1242">
        <f t="shared" si="59"/>
        <v>193.50879598675812</v>
      </c>
      <c r="H1242" s="9">
        <v>10866</v>
      </c>
    </row>
    <row r="1243" spans="1:8">
      <c r="A1243">
        <f t="shared" si="57"/>
        <v>1.5495724362181101E-6</v>
      </c>
      <c r="B1243" s="9">
        <v>1.54957243621811</v>
      </c>
      <c r="C1243">
        <f t="shared" si="58"/>
        <v>193467850223042.25</v>
      </c>
      <c r="D1243">
        <f t="shared" si="59"/>
        <v>193.46785022304226</v>
      </c>
      <c r="H1243" s="9">
        <v>10866</v>
      </c>
    </row>
    <row r="1244" spans="1:8">
      <c r="A1244">
        <f t="shared" si="57"/>
        <v>1.54990032016008E-6</v>
      </c>
      <c r="B1244" s="9">
        <v>1.5499003201600801</v>
      </c>
      <c r="C1244">
        <f t="shared" si="58"/>
        <v>193426921783612.66</v>
      </c>
      <c r="D1244">
        <f t="shared" si="59"/>
        <v>193.42692178361267</v>
      </c>
      <c r="H1244" s="9">
        <v>10866</v>
      </c>
    </row>
    <row r="1245" spans="1:8">
      <c r="A1245">
        <f t="shared" si="57"/>
        <v>1.5502282041020501E-6</v>
      </c>
      <c r="B1245" s="9">
        <v>1.5502282041020501</v>
      </c>
      <c r="C1245">
        <f t="shared" si="58"/>
        <v>193386010657476.69</v>
      </c>
      <c r="D1245">
        <f t="shared" si="59"/>
        <v>193.38601065747667</v>
      </c>
      <c r="H1245" s="9">
        <v>10866</v>
      </c>
    </row>
    <row r="1246" spans="1:8">
      <c r="A1246">
        <f t="shared" si="57"/>
        <v>1.5505560880440199E-6</v>
      </c>
      <c r="B1246" s="9">
        <v>1.5505560880440199</v>
      </c>
      <c r="C1246">
        <f t="shared" si="58"/>
        <v>193345116833651.09</v>
      </c>
      <c r="D1246">
        <f t="shared" si="59"/>
        <v>193.3451168336511</v>
      </c>
      <c r="H1246" s="9">
        <v>10866</v>
      </c>
    </row>
    <row r="1247" spans="1:8">
      <c r="A1247">
        <f t="shared" si="57"/>
        <v>1.55088397198599E-6</v>
      </c>
      <c r="B1247" s="9">
        <v>1.5508839719859899</v>
      </c>
      <c r="C1247">
        <f t="shared" si="58"/>
        <v>193304240301161.75</v>
      </c>
      <c r="D1247">
        <f t="shared" si="59"/>
        <v>193.30424030116174</v>
      </c>
      <c r="H1247" s="9">
        <v>10866</v>
      </c>
    </row>
    <row r="1248" spans="1:8">
      <c r="A1248">
        <f t="shared" si="57"/>
        <v>1.5512118559279599E-6</v>
      </c>
      <c r="B1248" s="9">
        <v>1.55121185592796</v>
      </c>
      <c r="C1248">
        <f t="shared" si="58"/>
        <v>193263381049043.97</v>
      </c>
      <c r="D1248">
        <f t="shared" si="59"/>
        <v>193.26338104904397</v>
      </c>
      <c r="H1248" s="9">
        <v>10866</v>
      </c>
    </row>
    <row r="1249" spans="1:8">
      <c r="A1249">
        <f t="shared" si="57"/>
        <v>1.5515397398699301E-6</v>
      </c>
      <c r="B1249" s="9">
        <v>1.55153973986993</v>
      </c>
      <c r="C1249">
        <f t="shared" si="58"/>
        <v>193222539066342.22</v>
      </c>
      <c r="D1249">
        <f t="shared" si="59"/>
        <v>193.22253906634222</v>
      </c>
      <c r="H1249" s="9">
        <v>10866</v>
      </c>
    </row>
    <row r="1250" spans="1:8">
      <c r="A1250">
        <f t="shared" si="57"/>
        <v>1.55186762381191E-6</v>
      </c>
      <c r="B1250" s="9">
        <v>1.55186762381191</v>
      </c>
      <c r="C1250">
        <f t="shared" si="58"/>
        <v>193181714342109.09</v>
      </c>
      <c r="D1250">
        <f t="shared" si="59"/>
        <v>193.1817143421091</v>
      </c>
      <c r="H1250" s="9">
        <v>10866</v>
      </c>
    </row>
    <row r="1251" spans="1:8">
      <c r="A1251">
        <f t="shared" si="57"/>
        <v>1.5521955077538801E-6</v>
      </c>
      <c r="B1251" s="9">
        <v>1.55219550775388</v>
      </c>
      <c r="C1251">
        <f t="shared" si="58"/>
        <v>193140906865410.03</v>
      </c>
      <c r="D1251">
        <f t="shared" si="59"/>
        <v>193.14090686541005</v>
      </c>
      <c r="H1251" s="9">
        <v>10866</v>
      </c>
    </row>
    <row r="1252" spans="1:8">
      <c r="A1252">
        <f t="shared" si="57"/>
        <v>1.5525233916958501E-6</v>
      </c>
      <c r="B1252" s="9">
        <v>1.5525233916958501</v>
      </c>
      <c r="C1252">
        <f t="shared" si="58"/>
        <v>193100116625316.12</v>
      </c>
      <c r="D1252">
        <f t="shared" si="59"/>
        <v>193.10011662531613</v>
      </c>
      <c r="H1252" s="9">
        <v>10866</v>
      </c>
    </row>
    <row r="1253" spans="1:8">
      <c r="A1253">
        <f t="shared" si="57"/>
        <v>1.5528512756378202E-6</v>
      </c>
      <c r="B1253" s="9">
        <v>1.5528512756378201</v>
      </c>
      <c r="C1253">
        <f t="shared" si="58"/>
        <v>193059343610908.81</v>
      </c>
      <c r="D1253">
        <f t="shared" si="59"/>
        <v>193.05934361090883</v>
      </c>
      <c r="H1253" s="9">
        <v>10866</v>
      </c>
    </row>
    <row r="1254" spans="1:8">
      <c r="A1254">
        <f t="shared" si="57"/>
        <v>1.5531791595797899E-6</v>
      </c>
      <c r="B1254" s="9">
        <v>1.5531791595797899</v>
      </c>
      <c r="C1254">
        <f t="shared" si="58"/>
        <v>193018587811278.87</v>
      </c>
      <c r="D1254">
        <f t="shared" si="59"/>
        <v>193.01858781127888</v>
      </c>
      <c r="H1254" s="9">
        <v>10866</v>
      </c>
    </row>
    <row r="1255" spans="1:8">
      <c r="A1255">
        <f t="shared" si="57"/>
        <v>1.5535070435217599E-6</v>
      </c>
      <c r="B1255" s="9">
        <v>1.5535070435217599</v>
      </c>
      <c r="C1255">
        <f t="shared" si="58"/>
        <v>192977849215526.16</v>
      </c>
      <c r="D1255">
        <f t="shared" si="59"/>
        <v>192.97784921552616</v>
      </c>
      <c r="H1255" s="9">
        <v>10866</v>
      </c>
    </row>
    <row r="1256" spans="1:8">
      <c r="A1256">
        <f t="shared" si="57"/>
        <v>1.55383492746373E-6</v>
      </c>
      <c r="B1256" s="9">
        <v>1.55383492746373</v>
      </c>
      <c r="C1256">
        <f t="shared" si="58"/>
        <v>192937127812759.78</v>
      </c>
      <c r="D1256">
        <f t="shared" si="59"/>
        <v>192.93712781275977</v>
      </c>
      <c r="H1256" s="9">
        <v>10866</v>
      </c>
    </row>
    <row r="1257" spans="1:8">
      <c r="A1257">
        <f t="shared" si="57"/>
        <v>1.5541628114057E-6</v>
      </c>
      <c r="B1257" s="9">
        <v>1.5541628114057</v>
      </c>
      <c r="C1257">
        <f t="shared" si="58"/>
        <v>192896423592098.12</v>
      </c>
      <c r="D1257">
        <f t="shared" si="59"/>
        <v>192.89642359209813</v>
      </c>
      <c r="H1257" s="9">
        <v>10866</v>
      </c>
    </row>
    <row r="1258" spans="1:8">
      <c r="A1258">
        <f t="shared" si="57"/>
        <v>1.5544906953476701E-6</v>
      </c>
      <c r="B1258" s="9">
        <v>1.55449069534767</v>
      </c>
      <c r="C1258">
        <f t="shared" si="58"/>
        <v>192855736542668.62</v>
      </c>
      <c r="D1258">
        <f t="shared" si="59"/>
        <v>192.85573654266864</v>
      </c>
      <c r="H1258" s="9">
        <v>10866</v>
      </c>
    </row>
    <row r="1259" spans="1:8">
      <c r="A1259">
        <f t="shared" si="57"/>
        <v>1.55481857928964E-6</v>
      </c>
      <c r="B1259" s="9">
        <v>1.5548185792896401</v>
      </c>
      <c r="C1259">
        <f t="shared" si="58"/>
        <v>192815066653607.97</v>
      </c>
      <c r="D1259">
        <f t="shared" si="59"/>
        <v>192.81506665360797</v>
      </c>
      <c r="H1259" s="9">
        <v>10866</v>
      </c>
    </row>
    <row r="1260" spans="1:8">
      <c r="A1260">
        <f t="shared" si="57"/>
        <v>1.5551464632316201E-6</v>
      </c>
      <c r="B1260" s="9">
        <v>1.5551464632316201</v>
      </c>
      <c r="C1260">
        <f t="shared" si="58"/>
        <v>192774413914060.75</v>
      </c>
      <c r="D1260">
        <f t="shared" si="59"/>
        <v>192.77441391406074</v>
      </c>
      <c r="H1260" s="9">
        <v>10866</v>
      </c>
    </row>
    <row r="1261" spans="1:8">
      <c r="A1261">
        <f t="shared" si="57"/>
        <v>1.5554743471735899E-6</v>
      </c>
      <c r="B1261" s="9">
        <v>1.5554743471735899</v>
      </c>
      <c r="C1261">
        <f t="shared" si="58"/>
        <v>192733778313184.47</v>
      </c>
      <c r="D1261">
        <f t="shared" si="59"/>
        <v>192.73377831318447</v>
      </c>
      <c r="H1261" s="9">
        <v>10866</v>
      </c>
    </row>
    <row r="1262" spans="1:8">
      <c r="A1262">
        <f t="shared" si="57"/>
        <v>1.55580223111556E-6</v>
      </c>
      <c r="B1262" s="9">
        <v>1.5558022311155599</v>
      </c>
      <c r="C1262">
        <f t="shared" si="58"/>
        <v>192693159840141.91</v>
      </c>
      <c r="D1262">
        <f t="shared" si="59"/>
        <v>192.6931598401419</v>
      </c>
      <c r="H1262" s="9">
        <v>10866</v>
      </c>
    </row>
    <row r="1263" spans="1:8">
      <c r="A1263">
        <f t="shared" si="57"/>
        <v>1.5561301150575299E-6</v>
      </c>
      <c r="B1263" s="9">
        <v>1.55613011505753</v>
      </c>
      <c r="C1263">
        <f t="shared" si="58"/>
        <v>192652558484106.41</v>
      </c>
      <c r="D1263">
        <f t="shared" si="59"/>
        <v>192.65255848410641</v>
      </c>
      <c r="H1263" s="9">
        <v>10866</v>
      </c>
    </row>
    <row r="1264" spans="1:8">
      <c r="A1264">
        <f t="shared" si="57"/>
        <v>1.5564579989995001E-6</v>
      </c>
      <c r="B1264" s="9">
        <v>1.5564579989995</v>
      </c>
      <c r="C1264">
        <f t="shared" si="58"/>
        <v>192611974234260.28</v>
      </c>
      <c r="D1264">
        <f t="shared" si="59"/>
        <v>192.61197423426029</v>
      </c>
      <c r="H1264" s="9">
        <v>10866</v>
      </c>
    </row>
    <row r="1265" spans="1:8">
      <c r="A1265">
        <f t="shared" si="57"/>
        <v>1.55678588294147E-6</v>
      </c>
      <c r="B1265" s="9">
        <v>1.55678588294147</v>
      </c>
      <c r="C1265">
        <f t="shared" si="58"/>
        <v>192571407079795.06</v>
      </c>
      <c r="D1265">
        <f t="shared" si="59"/>
        <v>192.57140707979505</v>
      </c>
      <c r="H1265" s="9">
        <v>10866</v>
      </c>
    </row>
    <row r="1266" spans="1:8">
      <c r="A1266">
        <f t="shared" si="57"/>
        <v>1.55711376688344E-6</v>
      </c>
      <c r="B1266" s="9">
        <v>1.5571137668834401</v>
      </c>
      <c r="C1266">
        <f t="shared" si="58"/>
        <v>192530857009911.34</v>
      </c>
      <c r="D1266">
        <f t="shared" si="59"/>
        <v>192.53085700991133</v>
      </c>
      <c r="H1266" s="9">
        <v>10866</v>
      </c>
    </row>
    <row r="1267" spans="1:8">
      <c r="A1267">
        <f t="shared" si="57"/>
        <v>1.5574416508254101E-6</v>
      </c>
      <c r="B1267" s="9">
        <v>1.5574416508254101</v>
      </c>
      <c r="C1267">
        <f t="shared" si="58"/>
        <v>192490324013818.78</v>
      </c>
      <c r="D1267">
        <f t="shared" si="59"/>
        <v>192.49032401381879</v>
      </c>
      <c r="H1267" s="9">
        <v>10866</v>
      </c>
    </row>
    <row r="1268" spans="1:8">
      <c r="A1268">
        <f t="shared" si="57"/>
        <v>1.5577695347673798E-6</v>
      </c>
      <c r="B1268" s="9">
        <v>1.5577695347673799</v>
      </c>
      <c r="C1268">
        <f t="shared" si="58"/>
        <v>192449808080736.22</v>
      </c>
      <c r="D1268">
        <f t="shared" si="59"/>
        <v>192.44980808073623</v>
      </c>
      <c r="H1268" s="9">
        <v>10866</v>
      </c>
    </row>
    <row r="1269" spans="1:8">
      <c r="A1269">
        <f t="shared" si="57"/>
        <v>1.55809741870935E-6</v>
      </c>
      <c r="B1269" s="9">
        <v>1.5580974187093499</v>
      </c>
      <c r="C1269">
        <f t="shared" si="58"/>
        <v>192409309199891.44</v>
      </c>
      <c r="D1269">
        <f t="shared" si="59"/>
        <v>192.40930919989142</v>
      </c>
      <c r="H1269" s="9">
        <v>10866</v>
      </c>
    </row>
    <row r="1270" spans="1:8">
      <c r="A1270">
        <f t="shared" si="57"/>
        <v>1.5584253026513299E-6</v>
      </c>
      <c r="B1270" s="9">
        <v>1.5584253026513299</v>
      </c>
      <c r="C1270">
        <f t="shared" si="58"/>
        <v>192368827360520.12</v>
      </c>
      <c r="D1270">
        <f t="shared" si="59"/>
        <v>192.36882736052013</v>
      </c>
      <c r="H1270" s="9">
        <v>10866</v>
      </c>
    </row>
    <row r="1271" spans="1:8">
      <c r="A1271">
        <f t="shared" si="57"/>
        <v>1.5587531865933E-6</v>
      </c>
      <c r="B1271" s="9">
        <v>1.5587531865933</v>
      </c>
      <c r="C1271">
        <f t="shared" si="58"/>
        <v>192328362551870.72</v>
      </c>
      <c r="D1271">
        <f t="shared" si="59"/>
        <v>192.32836255187073</v>
      </c>
      <c r="H1271" s="9">
        <v>10866</v>
      </c>
    </row>
    <row r="1272" spans="1:8">
      <c r="A1272">
        <f t="shared" si="57"/>
        <v>1.5590810705352699E-6</v>
      </c>
      <c r="B1272" s="9">
        <v>1.55908107053527</v>
      </c>
      <c r="C1272">
        <f t="shared" si="58"/>
        <v>192287914763197.03</v>
      </c>
      <c r="D1272">
        <f t="shared" si="59"/>
        <v>192.28791476319702</v>
      </c>
      <c r="H1272" s="9">
        <v>10866</v>
      </c>
    </row>
    <row r="1273" spans="1:8">
      <c r="A1273">
        <f t="shared" si="57"/>
        <v>1.5594089544772401E-6</v>
      </c>
      <c r="B1273" s="9">
        <v>1.55940895447724</v>
      </c>
      <c r="C1273">
        <f t="shared" si="58"/>
        <v>192247483983763.12</v>
      </c>
      <c r="D1273">
        <f t="shared" si="59"/>
        <v>192.24748398376312</v>
      </c>
      <c r="H1273" s="9">
        <v>10866</v>
      </c>
    </row>
    <row r="1274" spans="1:8">
      <c r="A1274">
        <f t="shared" si="57"/>
        <v>1.55973683841921E-6</v>
      </c>
      <c r="B1274" s="9">
        <v>1.5597368384192101</v>
      </c>
      <c r="C1274">
        <f t="shared" si="58"/>
        <v>192207070202842.03</v>
      </c>
      <c r="D1274">
        <f t="shared" si="59"/>
        <v>192.20707020284203</v>
      </c>
      <c r="H1274" s="9">
        <v>10866</v>
      </c>
    </row>
    <row r="1275" spans="1:8">
      <c r="A1275">
        <f t="shared" si="57"/>
        <v>1.5600647223611802E-6</v>
      </c>
      <c r="B1275" s="9">
        <v>1.5600647223611801</v>
      </c>
      <c r="C1275">
        <f t="shared" si="58"/>
        <v>192166673409715.91</v>
      </c>
      <c r="D1275">
        <f t="shared" si="59"/>
        <v>192.16667340971591</v>
      </c>
      <c r="H1275" s="9">
        <v>10866</v>
      </c>
    </row>
    <row r="1276" spans="1:8">
      <c r="A1276">
        <f t="shared" si="57"/>
        <v>1.5603926063031499E-6</v>
      </c>
      <c r="B1276" s="9">
        <v>1.5603926063031499</v>
      </c>
      <c r="C1276">
        <f t="shared" si="58"/>
        <v>192126293593675.84</v>
      </c>
      <c r="D1276">
        <f t="shared" si="59"/>
        <v>192.12629359367585</v>
      </c>
      <c r="H1276" s="9">
        <v>10866</v>
      </c>
    </row>
    <row r="1277" spans="1:8">
      <c r="A1277">
        <f t="shared" si="57"/>
        <v>1.5607204902451198E-6</v>
      </c>
      <c r="B1277" s="9">
        <v>1.5607204902451199</v>
      </c>
      <c r="C1277">
        <f t="shared" si="58"/>
        <v>192085930744021.87</v>
      </c>
      <c r="D1277">
        <f t="shared" si="59"/>
        <v>192.08593074402188</v>
      </c>
      <c r="H1277" s="9">
        <v>10866</v>
      </c>
    </row>
    <row r="1278" spans="1:8">
      <c r="A1278">
        <f t="shared" si="57"/>
        <v>1.56104837418709E-6</v>
      </c>
      <c r="B1278" s="9">
        <v>1.56104837418709</v>
      </c>
      <c r="C1278">
        <f t="shared" si="58"/>
        <v>192045584850063.22</v>
      </c>
      <c r="D1278">
        <f t="shared" si="59"/>
        <v>192.04558485006322</v>
      </c>
      <c r="H1278" s="9">
        <v>10866</v>
      </c>
    </row>
    <row r="1279" spans="1:8">
      <c r="A1279">
        <f t="shared" si="57"/>
        <v>1.5613762581290599E-6</v>
      </c>
      <c r="B1279" s="9">
        <v>1.56137625812906</v>
      </c>
      <c r="C1279">
        <f t="shared" si="58"/>
        <v>192005255901117.84</v>
      </c>
      <c r="D1279">
        <f t="shared" si="59"/>
        <v>192.00525590111783</v>
      </c>
      <c r="H1279" s="9">
        <v>10866</v>
      </c>
    </row>
    <row r="1280" spans="1:8">
      <c r="A1280">
        <f t="shared" si="57"/>
        <v>1.56170414207104E-6</v>
      </c>
      <c r="B1280" s="9">
        <v>1.56170414207104</v>
      </c>
      <c r="C1280">
        <f t="shared" si="58"/>
        <v>191964943886511.62</v>
      </c>
      <c r="D1280">
        <f t="shared" si="59"/>
        <v>191.96494388651163</v>
      </c>
      <c r="H1280" s="9">
        <v>10866</v>
      </c>
    </row>
    <row r="1281" spans="1:8">
      <c r="A1281">
        <f t="shared" si="57"/>
        <v>1.56203202601301E-6</v>
      </c>
      <c r="B1281" s="9">
        <v>1.5620320260130101</v>
      </c>
      <c r="C1281">
        <f t="shared" si="58"/>
        <v>191924648795583.06</v>
      </c>
      <c r="D1281">
        <f t="shared" si="59"/>
        <v>191.92464879558307</v>
      </c>
      <c r="H1281" s="9">
        <v>10866</v>
      </c>
    </row>
    <row r="1282" spans="1:8">
      <c r="A1282">
        <f t="shared" si="57"/>
        <v>1.5623599099549801E-6</v>
      </c>
      <c r="B1282" s="9">
        <v>1.5623599099549801</v>
      </c>
      <c r="C1282">
        <f t="shared" si="58"/>
        <v>191884370617675.81</v>
      </c>
      <c r="D1282">
        <f t="shared" si="59"/>
        <v>191.88437061767581</v>
      </c>
      <c r="H1282" s="9">
        <v>10866</v>
      </c>
    </row>
    <row r="1283" spans="1:8">
      <c r="A1283">
        <f t="shared" si="57"/>
        <v>1.5626877938969498E-6</v>
      </c>
      <c r="B1283" s="9">
        <v>1.5626877938969499</v>
      </c>
      <c r="C1283">
        <f t="shared" si="58"/>
        <v>191844109342143.84</v>
      </c>
      <c r="D1283">
        <f t="shared" si="59"/>
        <v>191.84410934214384</v>
      </c>
      <c r="H1283" s="9">
        <v>10866</v>
      </c>
    </row>
    <row r="1284" spans="1:8">
      <c r="A1284">
        <f t="shared" si="57"/>
        <v>1.56301567783892E-6</v>
      </c>
      <c r="B1284" s="9">
        <v>1.5630156778389199</v>
      </c>
      <c r="C1284">
        <f t="shared" si="58"/>
        <v>191803864958349.94</v>
      </c>
      <c r="D1284">
        <f t="shared" si="59"/>
        <v>191.80386495834995</v>
      </c>
      <c r="H1284" s="9">
        <v>10866</v>
      </c>
    </row>
    <row r="1285" spans="1:8">
      <c r="A1285">
        <f t="shared" si="57"/>
        <v>1.5633435617808899E-6</v>
      </c>
      <c r="B1285" s="9">
        <v>1.56334356178089</v>
      </c>
      <c r="C1285">
        <f t="shared" si="58"/>
        <v>191763637455665.91</v>
      </c>
      <c r="D1285">
        <f t="shared" si="59"/>
        <v>191.7636374556659</v>
      </c>
      <c r="H1285" s="9">
        <v>10866</v>
      </c>
    </row>
    <row r="1286" spans="1:8">
      <c r="A1286">
        <f t="shared" si="57"/>
        <v>1.5636714457228601E-6</v>
      </c>
      <c r="B1286" s="9">
        <v>1.56367144572286</v>
      </c>
      <c r="C1286">
        <f t="shared" si="58"/>
        <v>191723426823472.37</v>
      </c>
      <c r="D1286">
        <f t="shared" si="59"/>
        <v>191.72342682347238</v>
      </c>
      <c r="H1286" s="9">
        <v>10866</v>
      </c>
    </row>
    <row r="1287" spans="1:8">
      <c r="A1287">
        <f t="shared" ref="A1287:A1350" si="60">B1287/1000000</f>
        <v>1.56399932966483E-6</v>
      </c>
      <c r="B1287" s="9">
        <v>1.56399932966483</v>
      </c>
      <c r="C1287">
        <f t="shared" ref="C1287:C1350" si="61">wavelength_to_freq(B1287)</f>
        <v>191683233051158.97</v>
      </c>
      <c r="D1287">
        <f t="shared" ref="D1287:D1350" si="62">C1287/1000000000000</f>
        <v>191.68323305115896</v>
      </c>
      <c r="H1287" s="9">
        <v>10866</v>
      </c>
    </row>
    <row r="1288" spans="1:8">
      <c r="A1288">
        <f t="shared" si="60"/>
        <v>1.5643272136068001E-6</v>
      </c>
      <c r="B1288" s="9">
        <v>1.5643272136068</v>
      </c>
      <c r="C1288">
        <f t="shared" si="61"/>
        <v>191643056128124.12</v>
      </c>
      <c r="D1288">
        <f t="shared" si="62"/>
        <v>191.64305612812413</v>
      </c>
      <c r="H1288" s="9">
        <v>10866</v>
      </c>
    </row>
    <row r="1289" spans="1:8">
      <c r="A1289">
        <f t="shared" si="60"/>
        <v>1.5646550975487701E-6</v>
      </c>
      <c r="B1289" s="9">
        <v>1.5646550975487701</v>
      </c>
      <c r="C1289">
        <f t="shared" si="61"/>
        <v>191602896043775.25</v>
      </c>
      <c r="D1289">
        <f t="shared" si="62"/>
        <v>191.60289604377525</v>
      </c>
      <c r="H1289" s="9">
        <v>10866</v>
      </c>
    </row>
    <row r="1290" spans="1:8">
      <c r="A1290">
        <f t="shared" si="60"/>
        <v>1.5649829814907502E-6</v>
      </c>
      <c r="B1290" s="9">
        <v>1.5649829814907501</v>
      </c>
      <c r="C1290">
        <f t="shared" si="61"/>
        <v>191562752787527.31</v>
      </c>
      <c r="D1290">
        <f t="shared" si="62"/>
        <v>191.5627527875273</v>
      </c>
      <c r="H1290" s="9">
        <v>10866</v>
      </c>
    </row>
    <row r="1291" spans="1:8">
      <c r="A1291">
        <f t="shared" si="60"/>
        <v>1.5653108654327199E-6</v>
      </c>
      <c r="B1291" s="9">
        <v>1.5653108654327199</v>
      </c>
      <c r="C1291">
        <f t="shared" si="61"/>
        <v>191522626348807.94</v>
      </c>
      <c r="D1291">
        <f t="shared" si="62"/>
        <v>191.52262634880793</v>
      </c>
      <c r="H1291" s="9">
        <v>10866</v>
      </c>
    </row>
    <row r="1292" spans="1:8">
      <c r="A1292">
        <f t="shared" si="60"/>
        <v>1.5656387493746898E-6</v>
      </c>
      <c r="B1292" s="9">
        <v>1.5656387493746899</v>
      </c>
      <c r="C1292">
        <f t="shared" si="61"/>
        <v>191482516717049.78</v>
      </c>
      <c r="D1292">
        <f t="shared" si="62"/>
        <v>191.48251671704978</v>
      </c>
      <c r="H1292" s="9">
        <v>10866</v>
      </c>
    </row>
    <row r="1293" spans="1:8">
      <c r="A1293">
        <f t="shared" si="60"/>
        <v>1.56596663331666E-6</v>
      </c>
      <c r="B1293" s="9">
        <v>1.56596663331666</v>
      </c>
      <c r="C1293">
        <f t="shared" si="61"/>
        <v>191442423881695.72</v>
      </c>
      <c r="D1293">
        <f t="shared" si="62"/>
        <v>191.44242388169573</v>
      </c>
      <c r="H1293" s="9">
        <v>10866</v>
      </c>
    </row>
    <row r="1294" spans="1:8">
      <c r="A1294">
        <f t="shared" si="60"/>
        <v>1.5662945172586299E-6</v>
      </c>
      <c r="B1294" s="9">
        <v>1.56629451725863</v>
      </c>
      <c r="C1294">
        <f t="shared" si="61"/>
        <v>191402347832197.41</v>
      </c>
      <c r="D1294">
        <f t="shared" si="62"/>
        <v>191.40234783219739</v>
      </c>
      <c r="H1294" s="9">
        <v>10866</v>
      </c>
    </row>
    <row r="1295" spans="1:8">
      <c r="A1295">
        <f t="shared" si="60"/>
        <v>1.5666224012006001E-6</v>
      </c>
      <c r="B1295" s="9">
        <v>1.5666224012006</v>
      </c>
      <c r="C1295">
        <f t="shared" si="61"/>
        <v>191362288558015.28</v>
      </c>
      <c r="D1295">
        <f t="shared" si="62"/>
        <v>191.36228855801528</v>
      </c>
      <c r="H1295" s="9">
        <v>10866</v>
      </c>
    </row>
    <row r="1296" spans="1:8">
      <c r="A1296">
        <f t="shared" si="60"/>
        <v>1.56695028514257E-6</v>
      </c>
      <c r="B1296" s="9">
        <v>1.5669502851425701</v>
      </c>
      <c r="C1296">
        <f t="shared" si="61"/>
        <v>191322246048618.69</v>
      </c>
      <c r="D1296">
        <f t="shared" si="62"/>
        <v>191.32224604861869</v>
      </c>
      <c r="H1296" s="9">
        <v>10866</v>
      </c>
    </row>
    <row r="1297" spans="1:8">
      <c r="A1297">
        <f t="shared" si="60"/>
        <v>1.5672781690845402E-6</v>
      </c>
      <c r="B1297" s="9">
        <v>1.5672781690845401</v>
      </c>
      <c r="C1297">
        <f t="shared" si="61"/>
        <v>191282220293485.75</v>
      </c>
      <c r="D1297">
        <f t="shared" si="62"/>
        <v>191.28222029348575</v>
      </c>
      <c r="H1297" s="9">
        <v>10866</v>
      </c>
    </row>
    <row r="1298" spans="1:8">
      <c r="A1298">
        <f t="shared" si="60"/>
        <v>1.5676060530265099E-6</v>
      </c>
      <c r="B1298" s="9">
        <v>1.5676060530265099</v>
      </c>
      <c r="C1298">
        <f t="shared" si="61"/>
        <v>191242211282103.41</v>
      </c>
      <c r="D1298">
        <f t="shared" si="62"/>
        <v>191.2422112821034</v>
      </c>
      <c r="H1298" s="9">
        <v>10866</v>
      </c>
    </row>
    <row r="1299" spans="1:8">
      <c r="A1299">
        <f t="shared" si="60"/>
        <v>1.56793393696848E-6</v>
      </c>
      <c r="B1299" s="9">
        <v>1.5679339369684799</v>
      </c>
      <c r="C1299">
        <f t="shared" si="61"/>
        <v>191202219003967.31</v>
      </c>
      <c r="D1299">
        <f t="shared" si="62"/>
        <v>191.20221900396731</v>
      </c>
      <c r="H1299" s="9">
        <v>10866</v>
      </c>
    </row>
    <row r="1300" spans="1:8">
      <c r="A1300">
        <f t="shared" si="60"/>
        <v>1.5682618209104599E-6</v>
      </c>
      <c r="B1300" s="9">
        <v>1.56826182091046</v>
      </c>
      <c r="C1300">
        <f t="shared" si="61"/>
        <v>191162243448580.81</v>
      </c>
      <c r="D1300">
        <f t="shared" si="62"/>
        <v>191.16224344858082</v>
      </c>
      <c r="H1300" s="9">
        <v>10866</v>
      </c>
    </row>
    <row r="1301" spans="1:8">
      <c r="A1301">
        <f t="shared" si="60"/>
        <v>1.5685897048524301E-6</v>
      </c>
      <c r="B1301" s="9">
        <v>1.56858970485243</v>
      </c>
      <c r="C1301">
        <f t="shared" si="61"/>
        <v>191122284605459.59</v>
      </c>
      <c r="D1301">
        <f t="shared" si="62"/>
        <v>191.12228460545958</v>
      </c>
      <c r="H1301" s="9">
        <v>10866</v>
      </c>
    </row>
    <row r="1302" spans="1:8">
      <c r="A1302">
        <f t="shared" si="60"/>
        <v>1.5689175887944E-6</v>
      </c>
      <c r="B1302" s="9">
        <v>1.5689175887944</v>
      </c>
      <c r="C1302">
        <f t="shared" si="61"/>
        <v>191082342464124.5</v>
      </c>
      <c r="D1302">
        <f t="shared" si="62"/>
        <v>191.08234246412451</v>
      </c>
      <c r="H1302" s="9">
        <v>10866</v>
      </c>
    </row>
    <row r="1303" spans="1:8">
      <c r="A1303">
        <f t="shared" si="60"/>
        <v>1.5692454727363701E-6</v>
      </c>
      <c r="B1303" s="9">
        <v>1.5692454727363701</v>
      </c>
      <c r="C1303">
        <f t="shared" si="61"/>
        <v>191042417014106.31</v>
      </c>
      <c r="D1303">
        <f t="shared" si="62"/>
        <v>191.04241701410632</v>
      </c>
      <c r="H1303" s="9">
        <v>10866</v>
      </c>
    </row>
    <row r="1304" spans="1:8">
      <c r="A1304">
        <f t="shared" si="60"/>
        <v>1.5695733566783401E-6</v>
      </c>
      <c r="B1304" s="9">
        <v>1.5695733566783401</v>
      </c>
      <c r="C1304">
        <f t="shared" si="61"/>
        <v>191002508244944.59</v>
      </c>
      <c r="D1304">
        <f t="shared" si="62"/>
        <v>191.00250824494461</v>
      </c>
      <c r="H1304" s="9">
        <v>10866</v>
      </c>
    </row>
    <row r="1305" spans="1:8">
      <c r="A1305">
        <f t="shared" si="60"/>
        <v>1.5699012406203098E-6</v>
      </c>
      <c r="B1305" s="9">
        <v>1.5699012406203099</v>
      </c>
      <c r="C1305">
        <f t="shared" si="61"/>
        <v>190962616146187.66</v>
      </c>
      <c r="D1305">
        <f t="shared" si="62"/>
        <v>190.96261614618766</v>
      </c>
      <c r="H1305" s="9">
        <v>10866</v>
      </c>
    </row>
    <row r="1306" spans="1:8">
      <c r="A1306">
        <f t="shared" si="60"/>
        <v>1.57022912456228E-6</v>
      </c>
      <c r="B1306" s="9">
        <v>1.5702291245622799</v>
      </c>
      <c r="C1306">
        <f t="shared" si="61"/>
        <v>190922740707392.44</v>
      </c>
      <c r="D1306">
        <f t="shared" si="62"/>
        <v>190.92274070739245</v>
      </c>
      <c r="H1306" s="9">
        <v>10866</v>
      </c>
    </row>
    <row r="1307" spans="1:8">
      <c r="A1307">
        <f t="shared" si="60"/>
        <v>1.5705570085042499E-6</v>
      </c>
      <c r="B1307" s="9">
        <v>1.57055700850425</v>
      </c>
      <c r="C1307">
        <f t="shared" si="61"/>
        <v>190882881918124.75</v>
      </c>
      <c r="D1307">
        <f t="shared" si="62"/>
        <v>190.88288191812475</v>
      </c>
      <c r="H1307" s="9">
        <v>10866</v>
      </c>
    </row>
    <row r="1308" spans="1:8">
      <c r="A1308">
        <f t="shared" si="60"/>
        <v>1.57088489244622E-6</v>
      </c>
      <c r="B1308" s="9">
        <v>1.57088489244622</v>
      </c>
      <c r="C1308">
        <f t="shared" si="61"/>
        <v>190843039767959.03</v>
      </c>
      <c r="D1308">
        <f t="shared" si="62"/>
        <v>190.84303976795903</v>
      </c>
      <c r="H1308" s="9">
        <v>10866</v>
      </c>
    </row>
    <row r="1309" spans="1:8">
      <c r="A1309">
        <f t="shared" si="60"/>
        <v>1.57121277638819E-6</v>
      </c>
      <c r="B1309" s="9">
        <v>1.57121277638819</v>
      </c>
      <c r="C1309">
        <f t="shared" si="61"/>
        <v>190803214246478.41</v>
      </c>
      <c r="D1309">
        <f t="shared" si="62"/>
        <v>190.8032142464784</v>
      </c>
      <c r="H1309" s="9">
        <v>10866</v>
      </c>
    </row>
    <row r="1310" spans="1:8">
      <c r="A1310">
        <f t="shared" si="60"/>
        <v>1.5715406603301701E-6</v>
      </c>
      <c r="B1310" s="9">
        <v>1.57154066033017</v>
      </c>
      <c r="C1310">
        <f t="shared" si="61"/>
        <v>190763405343273.56</v>
      </c>
      <c r="D1310">
        <f t="shared" si="62"/>
        <v>190.76340534327358</v>
      </c>
      <c r="H1310" s="9">
        <v>10866</v>
      </c>
    </row>
    <row r="1311" spans="1:8">
      <c r="A1311">
        <f t="shared" si="60"/>
        <v>1.57186854427214E-6</v>
      </c>
      <c r="B1311" s="9">
        <v>1.5718685442721401</v>
      </c>
      <c r="C1311">
        <f t="shared" si="61"/>
        <v>190723613047947.37</v>
      </c>
      <c r="D1311">
        <f t="shared" si="62"/>
        <v>190.72361304794737</v>
      </c>
      <c r="H1311" s="9">
        <v>10866</v>
      </c>
    </row>
    <row r="1312" spans="1:8">
      <c r="A1312">
        <f t="shared" si="60"/>
        <v>1.5721964282141102E-6</v>
      </c>
      <c r="B1312" s="9">
        <v>1.5721964282141101</v>
      </c>
      <c r="C1312">
        <f t="shared" si="61"/>
        <v>190683837350107.94</v>
      </c>
      <c r="D1312">
        <f t="shared" si="62"/>
        <v>190.68383735010795</v>
      </c>
      <c r="H1312" s="9">
        <v>10866</v>
      </c>
    </row>
    <row r="1313" spans="1:8">
      <c r="A1313">
        <f t="shared" si="60"/>
        <v>1.5725243121560799E-6</v>
      </c>
      <c r="B1313" s="9">
        <v>1.5725243121560799</v>
      </c>
      <c r="C1313">
        <f t="shared" si="61"/>
        <v>190644078239373.06</v>
      </c>
      <c r="D1313">
        <f t="shared" si="62"/>
        <v>190.64407823937307</v>
      </c>
      <c r="H1313" s="9">
        <v>10866</v>
      </c>
    </row>
    <row r="1314" spans="1:8">
      <c r="A1314">
        <f t="shared" si="60"/>
        <v>1.57285219609805E-6</v>
      </c>
      <c r="B1314" s="9">
        <v>1.5728521960980499</v>
      </c>
      <c r="C1314">
        <f t="shared" si="61"/>
        <v>190604335705369.25</v>
      </c>
      <c r="D1314">
        <f t="shared" si="62"/>
        <v>190.60433570536924</v>
      </c>
      <c r="H1314" s="9">
        <v>10866</v>
      </c>
    </row>
    <row r="1315" spans="1:8">
      <c r="A1315">
        <f t="shared" si="60"/>
        <v>1.57318008004002E-6</v>
      </c>
      <c r="B1315" s="9">
        <v>1.57318008004002</v>
      </c>
      <c r="C1315">
        <f t="shared" si="61"/>
        <v>190564609737731.75</v>
      </c>
      <c r="D1315">
        <f t="shared" si="62"/>
        <v>190.56460973773176</v>
      </c>
      <c r="H1315" s="9">
        <v>10866</v>
      </c>
    </row>
    <row r="1316" spans="1:8">
      <c r="A1316">
        <f t="shared" si="60"/>
        <v>1.5735079639819899E-6</v>
      </c>
      <c r="B1316" s="9">
        <v>1.57350796398199</v>
      </c>
      <c r="C1316">
        <f t="shared" si="61"/>
        <v>190524900326104.31</v>
      </c>
      <c r="D1316">
        <f t="shared" si="62"/>
        <v>190.5249003261043</v>
      </c>
      <c r="H1316" s="9">
        <v>10866</v>
      </c>
    </row>
    <row r="1317" spans="1:8">
      <c r="A1317">
        <f t="shared" si="60"/>
        <v>1.57383584792396E-6</v>
      </c>
      <c r="B1317" s="9">
        <v>1.57383584792396</v>
      </c>
      <c r="C1317">
        <f t="shared" si="61"/>
        <v>190485207460139.44</v>
      </c>
      <c r="D1317">
        <f t="shared" si="62"/>
        <v>190.48520746013943</v>
      </c>
      <c r="H1317" s="9">
        <v>10866</v>
      </c>
    </row>
    <row r="1318" spans="1:8">
      <c r="A1318">
        <f t="shared" si="60"/>
        <v>1.57416373186593E-6</v>
      </c>
      <c r="B1318" s="9">
        <v>1.5741637318659301</v>
      </c>
      <c r="C1318">
        <f t="shared" si="61"/>
        <v>190445531129498.19</v>
      </c>
      <c r="D1318">
        <f t="shared" si="62"/>
        <v>190.44553112949819</v>
      </c>
      <c r="H1318" s="9">
        <v>10866</v>
      </c>
    </row>
    <row r="1319" spans="1:8">
      <c r="A1319">
        <f t="shared" si="60"/>
        <v>1.5744916158079001E-6</v>
      </c>
      <c r="B1319" s="9">
        <v>1.5744916158079001</v>
      </c>
      <c r="C1319">
        <f t="shared" si="61"/>
        <v>190405871323850.19</v>
      </c>
      <c r="D1319">
        <f t="shared" si="62"/>
        <v>190.40587132385019</v>
      </c>
      <c r="H1319" s="9">
        <v>10866</v>
      </c>
    </row>
    <row r="1320" spans="1:8">
      <c r="A1320">
        <f t="shared" si="60"/>
        <v>1.5748194997498798E-6</v>
      </c>
      <c r="B1320" s="9">
        <v>1.5748194997498799</v>
      </c>
      <c r="C1320">
        <f t="shared" si="61"/>
        <v>190366228032872.59</v>
      </c>
      <c r="D1320">
        <f t="shared" si="62"/>
        <v>190.36622803287258</v>
      </c>
      <c r="H1320" s="9">
        <v>10866</v>
      </c>
    </row>
    <row r="1321" spans="1:8">
      <c r="A1321">
        <f t="shared" si="60"/>
        <v>1.5751473836918499E-6</v>
      </c>
      <c r="B1321" s="9">
        <v>1.5751473836918499</v>
      </c>
      <c r="C1321">
        <f t="shared" si="61"/>
        <v>190326601246254.66</v>
      </c>
      <c r="D1321">
        <f t="shared" si="62"/>
        <v>190.32660124625465</v>
      </c>
      <c r="H1321" s="9">
        <v>10866</v>
      </c>
    </row>
    <row r="1322" spans="1:8">
      <c r="A1322">
        <f t="shared" si="60"/>
        <v>1.5754752676338199E-6</v>
      </c>
      <c r="B1322" s="9">
        <v>1.57547526763382</v>
      </c>
      <c r="C1322">
        <f t="shared" si="61"/>
        <v>190286990953690.62</v>
      </c>
      <c r="D1322">
        <f t="shared" si="62"/>
        <v>190.28699095369063</v>
      </c>
      <c r="H1322" s="9">
        <v>10866</v>
      </c>
    </row>
    <row r="1323" spans="1:8">
      <c r="A1323">
        <f t="shared" si="60"/>
        <v>1.57580315157579E-6</v>
      </c>
      <c r="B1323" s="9">
        <v>1.57580315157579</v>
      </c>
      <c r="C1323">
        <f t="shared" si="61"/>
        <v>190247397144884.53</v>
      </c>
      <c r="D1323">
        <f t="shared" si="62"/>
        <v>190.24739714488453</v>
      </c>
      <c r="H1323" s="9">
        <v>10866</v>
      </c>
    </row>
    <row r="1324" spans="1:8">
      <c r="A1324">
        <f t="shared" si="60"/>
        <v>1.57613103551776E-6</v>
      </c>
      <c r="B1324" s="9">
        <v>1.57613103551776</v>
      </c>
      <c r="C1324">
        <f t="shared" si="61"/>
        <v>190207819809549.03</v>
      </c>
      <c r="D1324">
        <f t="shared" si="62"/>
        <v>190.20781980954902</v>
      </c>
      <c r="H1324" s="9">
        <v>10866</v>
      </c>
    </row>
    <row r="1325" spans="1:8">
      <c r="A1325">
        <f t="shared" si="60"/>
        <v>1.5764589194597301E-6</v>
      </c>
      <c r="B1325" s="9">
        <v>1.57645891945973</v>
      </c>
      <c r="C1325">
        <f t="shared" si="61"/>
        <v>190168258937405.22</v>
      </c>
      <c r="D1325">
        <f t="shared" si="62"/>
        <v>190.16825893740523</v>
      </c>
      <c r="H1325" s="9">
        <v>10866</v>
      </c>
    </row>
    <row r="1326" spans="1:8">
      <c r="A1326">
        <f t="shared" si="60"/>
        <v>1.5767868034017001E-6</v>
      </c>
      <c r="B1326" s="9">
        <v>1.5767868034017001</v>
      </c>
      <c r="C1326">
        <f t="shared" si="61"/>
        <v>190128714518182.87</v>
      </c>
      <c r="D1326">
        <f t="shared" si="62"/>
        <v>190.12871451818287</v>
      </c>
      <c r="H1326" s="9">
        <v>10866</v>
      </c>
    </row>
    <row r="1327" spans="1:8">
      <c r="A1327">
        <f t="shared" si="60"/>
        <v>1.5771146873436702E-6</v>
      </c>
      <c r="B1327" s="9">
        <v>1.5771146873436701</v>
      </c>
      <c r="C1327">
        <f t="shared" si="61"/>
        <v>190089186541620.25</v>
      </c>
      <c r="D1327">
        <f t="shared" si="62"/>
        <v>190.08918654162025</v>
      </c>
      <c r="H1327" s="9">
        <v>10866</v>
      </c>
    </row>
    <row r="1328" spans="1:8">
      <c r="A1328">
        <f t="shared" si="60"/>
        <v>1.5774425712856399E-6</v>
      </c>
      <c r="B1328" s="9">
        <v>1.5774425712856399</v>
      </c>
      <c r="C1328">
        <f t="shared" si="61"/>
        <v>190049674997464.12</v>
      </c>
      <c r="D1328">
        <f t="shared" si="62"/>
        <v>190.04967499746414</v>
      </c>
      <c r="H1328" s="9">
        <v>10866</v>
      </c>
    </row>
    <row r="1329" spans="1:8">
      <c r="A1329">
        <f t="shared" si="60"/>
        <v>1.5777704552276099E-6</v>
      </c>
      <c r="B1329" s="9">
        <v>1.5777704552276099</v>
      </c>
      <c r="C1329">
        <f t="shared" si="61"/>
        <v>190010179875469.78</v>
      </c>
      <c r="D1329">
        <f t="shared" si="62"/>
        <v>190.01017987546979</v>
      </c>
      <c r="H1329" s="9">
        <v>10866</v>
      </c>
    </row>
    <row r="1330" spans="1:8">
      <c r="A1330">
        <f t="shared" si="60"/>
        <v>1.57809833916958E-6</v>
      </c>
      <c r="B1330" s="9">
        <v>1.57809833916958</v>
      </c>
      <c r="C1330">
        <f t="shared" si="61"/>
        <v>189970701165401.06</v>
      </c>
      <c r="D1330">
        <f t="shared" si="62"/>
        <v>189.97070116540107</v>
      </c>
      <c r="H1330" s="9">
        <v>10866</v>
      </c>
    </row>
    <row r="1331" spans="1:8">
      <c r="A1331">
        <f t="shared" si="60"/>
        <v>1.5784262231115601E-6</v>
      </c>
      <c r="B1331" s="9">
        <v>1.57842622311156</v>
      </c>
      <c r="C1331">
        <f t="shared" si="61"/>
        <v>189931238857029.09</v>
      </c>
      <c r="D1331">
        <f t="shared" si="62"/>
        <v>189.93123885702909</v>
      </c>
      <c r="H1331" s="9">
        <v>10866</v>
      </c>
    </row>
    <row r="1332" spans="1:8">
      <c r="A1332">
        <f t="shared" si="60"/>
        <v>1.57875410705353E-6</v>
      </c>
      <c r="B1332" s="9">
        <v>1.57875410705353</v>
      </c>
      <c r="C1332">
        <f t="shared" si="61"/>
        <v>189891792940137.12</v>
      </c>
      <c r="D1332">
        <f t="shared" si="62"/>
        <v>189.89179294013712</v>
      </c>
      <c r="H1332" s="9">
        <v>10866</v>
      </c>
    </row>
    <row r="1333" spans="1:8">
      <c r="A1333">
        <f t="shared" si="60"/>
        <v>1.5790819909955E-6</v>
      </c>
      <c r="B1333" s="9">
        <v>1.5790819909955001</v>
      </c>
      <c r="C1333">
        <f t="shared" si="61"/>
        <v>189852363404513.25</v>
      </c>
      <c r="D1333">
        <f t="shared" si="62"/>
        <v>189.85236340451326</v>
      </c>
      <c r="H1333" s="9">
        <v>10866</v>
      </c>
    </row>
    <row r="1334" spans="1:8">
      <c r="A1334">
        <f t="shared" si="60"/>
        <v>1.5794098749374701E-6</v>
      </c>
      <c r="B1334" s="9">
        <v>1.5794098749374701</v>
      </c>
      <c r="C1334">
        <f t="shared" si="61"/>
        <v>189812950239955.28</v>
      </c>
      <c r="D1334">
        <f t="shared" si="62"/>
        <v>189.81295023995528</v>
      </c>
      <c r="H1334" s="9">
        <v>10866</v>
      </c>
    </row>
    <row r="1335" spans="1:8">
      <c r="A1335">
        <f t="shared" si="60"/>
        <v>1.5797377588794398E-6</v>
      </c>
      <c r="B1335" s="9">
        <v>1.5797377588794399</v>
      </c>
      <c r="C1335">
        <f t="shared" si="61"/>
        <v>189773553436269.5</v>
      </c>
      <c r="D1335">
        <f t="shared" si="62"/>
        <v>189.77355343626951</v>
      </c>
      <c r="H1335" s="9">
        <v>10866</v>
      </c>
    </row>
    <row r="1336" spans="1:8">
      <c r="A1336">
        <f t="shared" si="60"/>
        <v>1.58006564282141E-6</v>
      </c>
      <c r="B1336" s="9">
        <v>1.5800656428214099</v>
      </c>
      <c r="C1336">
        <f t="shared" si="61"/>
        <v>189734172983270.56</v>
      </c>
      <c r="D1336">
        <f t="shared" si="62"/>
        <v>189.73417298327055</v>
      </c>
      <c r="H1336" s="9">
        <v>10866</v>
      </c>
    </row>
    <row r="1337" spans="1:8">
      <c r="A1337">
        <f t="shared" si="60"/>
        <v>1.5803935267633799E-6</v>
      </c>
      <c r="B1337" s="9">
        <v>1.58039352676338</v>
      </c>
      <c r="C1337">
        <f t="shared" si="61"/>
        <v>189694808870781.72</v>
      </c>
      <c r="D1337">
        <f t="shared" si="62"/>
        <v>189.69480887078171</v>
      </c>
      <c r="H1337" s="9">
        <v>10866</v>
      </c>
    </row>
    <row r="1338" spans="1:8">
      <c r="A1338">
        <f t="shared" si="60"/>
        <v>1.5807214107053501E-6</v>
      </c>
      <c r="B1338" s="9">
        <v>1.58072141070535</v>
      </c>
      <c r="C1338">
        <f t="shared" si="61"/>
        <v>189655461088634.53</v>
      </c>
      <c r="D1338">
        <f t="shared" si="62"/>
        <v>189.65546108863452</v>
      </c>
      <c r="H1338" s="9">
        <v>10866</v>
      </c>
    </row>
    <row r="1339" spans="1:8">
      <c r="A1339">
        <f t="shared" si="60"/>
        <v>1.58104929464732E-6</v>
      </c>
      <c r="B1339" s="9">
        <v>1.58104929464732</v>
      </c>
      <c r="C1339">
        <f t="shared" si="61"/>
        <v>189616129626669.12</v>
      </c>
      <c r="D1339">
        <f t="shared" si="62"/>
        <v>189.61612962666914</v>
      </c>
      <c r="H1339" s="9">
        <v>10866</v>
      </c>
    </row>
    <row r="1340" spans="1:8">
      <c r="A1340">
        <f t="shared" si="60"/>
        <v>1.58137717858929E-6</v>
      </c>
      <c r="B1340" s="9">
        <v>1.5813771785892901</v>
      </c>
      <c r="C1340">
        <f t="shared" si="61"/>
        <v>189576814474733.91</v>
      </c>
      <c r="D1340">
        <f t="shared" si="62"/>
        <v>189.57681447473391</v>
      </c>
      <c r="H1340" s="9">
        <v>10866</v>
      </c>
    </row>
    <row r="1341" spans="1:8">
      <c r="A1341">
        <f t="shared" si="60"/>
        <v>1.5817050625312701E-6</v>
      </c>
      <c r="B1341" s="9">
        <v>1.5817050625312701</v>
      </c>
      <c r="C1341">
        <f t="shared" si="61"/>
        <v>189537515622684.66</v>
      </c>
      <c r="D1341">
        <f t="shared" si="62"/>
        <v>189.53751562268465</v>
      </c>
      <c r="H1341" s="9">
        <v>10866</v>
      </c>
    </row>
    <row r="1342" spans="1:8">
      <c r="A1342">
        <f t="shared" si="60"/>
        <v>1.5820329464732402E-6</v>
      </c>
      <c r="B1342" s="9">
        <v>1.5820329464732401</v>
      </c>
      <c r="C1342">
        <f t="shared" si="61"/>
        <v>189498233060389.03</v>
      </c>
      <c r="D1342">
        <f t="shared" si="62"/>
        <v>189.49823306038903</v>
      </c>
      <c r="H1342" s="9">
        <v>10866</v>
      </c>
    </row>
    <row r="1343" spans="1:8">
      <c r="A1343">
        <f t="shared" si="60"/>
        <v>1.5823608304152099E-6</v>
      </c>
      <c r="B1343" s="9">
        <v>1.5823608304152099</v>
      </c>
      <c r="C1343">
        <f t="shared" si="61"/>
        <v>189458966777719.56</v>
      </c>
      <c r="D1343">
        <f t="shared" si="62"/>
        <v>189.45896677771955</v>
      </c>
      <c r="H1343" s="9">
        <v>10866</v>
      </c>
    </row>
    <row r="1344" spans="1:8">
      <c r="A1344">
        <f t="shared" si="60"/>
        <v>1.5826887143571799E-6</v>
      </c>
      <c r="B1344" s="9">
        <v>1.5826887143571799</v>
      </c>
      <c r="C1344">
        <f t="shared" si="61"/>
        <v>189419716764558.34</v>
      </c>
      <c r="D1344">
        <f t="shared" si="62"/>
        <v>189.41971676455833</v>
      </c>
      <c r="H1344" s="9">
        <v>10866</v>
      </c>
    </row>
    <row r="1345" spans="1:8">
      <c r="A1345">
        <f t="shared" si="60"/>
        <v>1.58301659829915E-6</v>
      </c>
      <c r="B1345" s="9">
        <v>1.58301659829915</v>
      </c>
      <c r="C1345">
        <f t="shared" si="61"/>
        <v>189380483010795.84</v>
      </c>
      <c r="D1345">
        <f t="shared" si="62"/>
        <v>189.38048301079584</v>
      </c>
      <c r="H1345" s="9">
        <v>10866</v>
      </c>
    </row>
    <row r="1346" spans="1:8">
      <c r="A1346">
        <f t="shared" si="60"/>
        <v>1.5833444822411199E-6</v>
      </c>
      <c r="B1346" s="9">
        <v>1.58334448224112</v>
      </c>
      <c r="C1346">
        <f t="shared" si="61"/>
        <v>189341265506330.94</v>
      </c>
      <c r="D1346">
        <f t="shared" si="62"/>
        <v>189.34126550633093</v>
      </c>
      <c r="H1346" s="9">
        <v>10866</v>
      </c>
    </row>
    <row r="1347" spans="1:8">
      <c r="A1347">
        <f t="shared" si="60"/>
        <v>1.5836723661830901E-6</v>
      </c>
      <c r="B1347" s="9">
        <v>1.58367236618309</v>
      </c>
      <c r="C1347">
        <f t="shared" si="61"/>
        <v>189302064241070.84</v>
      </c>
      <c r="D1347">
        <f t="shared" si="62"/>
        <v>189.30206424107084</v>
      </c>
      <c r="H1347" s="9">
        <v>10866</v>
      </c>
    </row>
    <row r="1348" spans="1:8">
      <c r="A1348">
        <f t="shared" si="60"/>
        <v>1.58400025012506E-6</v>
      </c>
      <c r="B1348" s="9">
        <v>1.5840002501250601</v>
      </c>
      <c r="C1348">
        <f t="shared" si="61"/>
        <v>189262879204931.16</v>
      </c>
      <c r="D1348">
        <f t="shared" si="62"/>
        <v>189.26287920493115</v>
      </c>
      <c r="H1348" s="9">
        <v>10866</v>
      </c>
    </row>
    <row r="1349" spans="1:8">
      <c r="A1349">
        <f t="shared" si="60"/>
        <v>1.5843281340670302E-6</v>
      </c>
      <c r="B1349" s="9">
        <v>1.5843281340670301</v>
      </c>
      <c r="C1349">
        <f t="shared" si="61"/>
        <v>189223710387835.81</v>
      </c>
      <c r="D1349">
        <f t="shared" si="62"/>
        <v>189.22371038783581</v>
      </c>
      <c r="H1349" s="9">
        <v>10866</v>
      </c>
    </row>
    <row r="1350" spans="1:8">
      <c r="A1350">
        <f t="shared" si="60"/>
        <v>1.5846560180089999E-6</v>
      </c>
      <c r="B1350" s="9">
        <v>1.5846560180089999</v>
      </c>
      <c r="C1350">
        <f t="shared" si="61"/>
        <v>189184557779717.06</v>
      </c>
      <c r="D1350">
        <f t="shared" si="62"/>
        <v>189.18455777971707</v>
      </c>
      <c r="H1350" s="9">
        <v>10866</v>
      </c>
    </row>
    <row r="1351" spans="1:8">
      <c r="A1351">
        <f t="shared" ref="A1351:A1414" si="63">B1351/1000000</f>
        <v>1.58498390195098E-6</v>
      </c>
      <c r="B1351" s="9">
        <v>1.5849839019509799</v>
      </c>
      <c r="C1351">
        <f t="shared" ref="C1351:C1414" si="64">wavelength_to_freq(B1351)</f>
        <v>189145421370514.28</v>
      </c>
      <c r="D1351">
        <f t="shared" ref="D1351:D1414" si="65">C1351/1000000000000</f>
        <v>189.14542137051427</v>
      </c>
      <c r="H1351" s="9">
        <v>10866</v>
      </c>
    </row>
    <row r="1352" spans="1:8">
      <c r="A1352">
        <f t="shared" si="63"/>
        <v>1.5853117858929499E-6</v>
      </c>
      <c r="B1352" s="9">
        <v>1.58531178589295</v>
      </c>
      <c r="C1352">
        <f t="shared" si="64"/>
        <v>189106301150178.81</v>
      </c>
      <c r="D1352">
        <f t="shared" si="65"/>
        <v>189.10630115017881</v>
      </c>
      <c r="H1352" s="9">
        <v>10866</v>
      </c>
    </row>
    <row r="1353" spans="1:8">
      <c r="A1353">
        <f t="shared" si="63"/>
        <v>1.5856396698349201E-6</v>
      </c>
      <c r="B1353" s="9">
        <v>1.58563966983492</v>
      </c>
      <c r="C1353">
        <f t="shared" si="64"/>
        <v>189067197108666.69</v>
      </c>
      <c r="D1353">
        <f t="shared" si="65"/>
        <v>189.06719710866668</v>
      </c>
      <c r="H1353" s="9">
        <v>10866</v>
      </c>
    </row>
    <row r="1354" spans="1:8">
      <c r="A1354">
        <f t="shared" si="63"/>
        <v>1.58596755377689E-6</v>
      </c>
      <c r="B1354" s="9">
        <v>1.58596755377689</v>
      </c>
      <c r="C1354">
        <f t="shared" si="64"/>
        <v>189028109235943.47</v>
      </c>
      <c r="D1354">
        <f t="shared" si="65"/>
        <v>189.02810923594348</v>
      </c>
      <c r="H1354" s="9">
        <v>10866</v>
      </c>
    </row>
    <row r="1355" spans="1:8">
      <c r="A1355">
        <f t="shared" si="63"/>
        <v>1.5862954377188602E-6</v>
      </c>
      <c r="B1355" s="9">
        <v>1.5862954377188601</v>
      </c>
      <c r="C1355">
        <f t="shared" si="64"/>
        <v>188989037521982.94</v>
      </c>
      <c r="D1355">
        <f t="shared" si="65"/>
        <v>188.98903752198294</v>
      </c>
      <c r="H1355" s="9">
        <v>10866</v>
      </c>
    </row>
    <row r="1356" spans="1:8">
      <c r="A1356">
        <f t="shared" si="63"/>
        <v>1.5866233216608301E-6</v>
      </c>
      <c r="B1356" s="9">
        <v>1.5866233216608301</v>
      </c>
      <c r="C1356">
        <f t="shared" si="64"/>
        <v>188949981956767.28</v>
      </c>
      <c r="D1356">
        <f t="shared" si="65"/>
        <v>188.94998195676729</v>
      </c>
      <c r="H1356" s="9">
        <v>10866</v>
      </c>
    </row>
    <row r="1357" spans="1:8">
      <c r="A1357">
        <f t="shared" si="63"/>
        <v>1.5869512056027998E-6</v>
      </c>
      <c r="B1357" s="9">
        <v>1.5869512056027999</v>
      </c>
      <c r="C1357">
        <f t="shared" si="64"/>
        <v>188910942530286.87</v>
      </c>
      <c r="D1357">
        <f t="shared" si="65"/>
        <v>188.91094253028689</v>
      </c>
      <c r="H1357" s="9">
        <v>10866</v>
      </c>
    </row>
    <row r="1358" spans="1:8">
      <c r="A1358">
        <f t="shared" si="63"/>
        <v>1.58727908954477E-6</v>
      </c>
      <c r="B1358" s="9">
        <v>1.5872790895447699</v>
      </c>
      <c r="C1358">
        <f t="shared" si="64"/>
        <v>188871919232540.37</v>
      </c>
      <c r="D1358">
        <f t="shared" si="65"/>
        <v>188.87191923254036</v>
      </c>
      <c r="H1358" s="9">
        <v>10866</v>
      </c>
    </row>
    <row r="1359" spans="1:8">
      <c r="A1359">
        <f t="shared" si="63"/>
        <v>1.5876069734867399E-6</v>
      </c>
      <c r="B1359" s="9">
        <v>1.58760697348674</v>
      </c>
      <c r="C1359">
        <f t="shared" si="64"/>
        <v>188832912053534.72</v>
      </c>
      <c r="D1359">
        <f t="shared" si="65"/>
        <v>188.83291205353473</v>
      </c>
      <c r="H1359" s="9">
        <v>10866</v>
      </c>
    </row>
    <row r="1360" spans="1:8">
      <c r="A1360">
        <f t="shared" si="63"/>
        <v>1.5879348574287101E-6</v>
      </c>
      <c r="B1360" s="9">
        <v>1.58793485742871</v>
      </c>
      <c r="C1360">
        <f t="shared" si="64"/>
        <v>188793920983285.12</v>
      </c>
      <c r="D1360">
        <f t="shared" si="65"/>
        <v>188.79392098328512</v>
      </c>
      <c r="H1360" s="9">
        <v>10866</v>
      </c>
    </row>
    <row r="1361" spans="1:8">
      <c r="A1361">
        <f t="shared" si="63"/>
        <v>1.5882627413706899E-6</v>
      </c>
      <c r="B1361" s="9">
        <v>1.58826274137069</v>
      </c>
      <c r="C1361">
        <f t="shared" si="64"/>
        <v>188754946011813.81</v>
      </c>
      <c r="D1361">
        <f t="shared" si="65"/>
        <v>188.75494601181381</v>
      </c>
      <c r="H1361" s="9">
        <v>10866</v>
      </c>
    </row>
    <row r="1362" spans="1:8">
      <c r="A1362">
        <f t="shared" si="63"/>
        <v>1.5885906253126601E-6</v>
      </c>
      <c r="B1362" s="9">
        <v>1.58859062531266</v>
      </c>
      <c r="C1362">
        <f t="shared" si="64"/>
        <v>188715987129154.84</v>
      </c>
      <c r="D1362">
        <f t="shared" si="65"/>
        <v>188.71598712915485</v>
      </c>
      <c r="H1362" s="9">
        <v>10866</v>
      </c>
    </row>
    <row r="1363" spans="1:8">
      <c r="A1363">
        <f t="shared" si="63"/>
        <v>1.58891850925463E-6</v>
      </c>
      <c r="B1363" s="9">
        <v>1.5889185092546301</v>
      </c>
      <c r="C1363">
        <f t="shared" si="64"/>
        <v>188677044325346.94</v>
      </c>
      <c r="D1363">
        <f t="shared" si="65"/>
        <v>188.67704432534694</v>
      </c>
      <c r="H1363" s="9">
        <v>10866</v>
      </c>
    </row>
    <row r="1364" spans="1:8">
      <c r="A1364">
        <f t="shared" si="63"/>
        <v>1.5892463931966002E-6</v>
      </c>
      <c r="B1364" s="9">
        <v>1.5892463931966001</v>
      </c>
      <c r="C1364">
        <f t="shared" si="64"/>
        <v>188638117590438.19</v>
      </c>
      <c r="D1364">
        <f t="shared" si="65"/>
        <v>188.63811759043818</v>
      </c>
      <c r="H1364" s="9">
        <v>10866</v>
      </c>
    </row>
    <row r="1365" spans="1:8">
      <c r="A1365">
        <f t="shared" si="63"/>
        <v>1.5895742771385699E-6</v>
      </c>
      <c r="B1365" s="9">
        <v>1.5895742771385699</v>
      </c>
      <c r="C1365">
        <f t="shared" si="64"/>
        <v>188599206914484.97</v>
      </c>
      <c r="D1365">
        <f t="shared" si="65"/>
        <v>188.59920691448497</v>
      </c>
      <c r="H1365" s="9">
        <v>10866</v>
      </c>
    </row>
    <row r="1366" spans="1:8">
      <c r="A1366">
        <f t="shared" si="63"/>
        <v>1.58990216108054E-6</v>
      </c>
      <c r="B1366" s="9">
        <v>1.5899021610805399</v>
      </c>
      <c r="C1366">
        <f t="shared" si="64"/>
        <v>188560312287551.75</v>
      </c>
      <c r="D1366">
        <f t="shared" si="65"/>
        <v>188.56031228755174</v>
      </c>
      <c r="H1366" s="9">
        <v>10866</v>
      </c>
    </row>
    <row r="1367" spans="1:8">
      <c r="A1367">
        <f t="shared" si="63"/>
        <v>1.59023004502251E-6</v>
      </c>
      <c r="B1367" s="9">
        <v>1.59023004502251</v>
      </c>
      <c r="C1367">
        <f t="shared" si="64"/>
        <v>188521433699711.28</v>
      </c>
      <c r="D1367">
        <f t="shared" si="65"/>
        <v>188.52143369971128</v>
      </c>
      <c r="H1367" s="9">
        <v>10866</v>
      </c>
    </row>
    <row r="1368" spans="1:8">
      <c r="A1368">
        <f t="shared" si="63"/>
        <v>1.5905579289644799E-6</v>
      </c>
      <c r="B1368" s="9">
        <v>1.59055792896448</v>
      </c>
      <c r="C1368">
        <f t="shared" si="64"/>
        <v>188482571141044.5</v>
      </c>
      <c r="D1368">
        <f t="shared" si="65"/>
        <v>188.4825711410445</v>
      </c>
      <c r="H1368" s="9">
        <v>10866</v>
      </c>
    </row>
    <row r="1369" spans="1:8">
      <c r="A1369">
        <f t="shared" si="63"/>
        <v>1.5908858129064501E-6</v>
      </c>
      <c r="B1369" s="9">
        <v>1.59088581290645</v>
      </c>
      <c r="C1369">
        <f t="shared" si="64"/>
        <v>188443724601640.47</v>
      </c>
      <c r="D1369">
        <f t="shared" si="65"/>
        <v>188.44372460164047</v>
      </c>
      <c r="H1369" s="9">
        <v>10866</v>
      </c>
    </row>
    <row r="1370" spans="1:8">
      <c r="A1370">
        <f t="shared" si="63"/>
        <v>1.59121369684842E-6</v>
      </c>
      <c r="B1370" s="9">
        <v>1.5912136968484201</v>
      </c>
      <c r="C1370">
        <f t="shared" si="64"/>
        <v>188404894071596.47</v>
      </c>
      <c r="D1370">
        <f t="shared" si="65"/>
        <v>188.40489407159646</v>
      </c>
      <c r="H1370" s="9">
        <v>10866</v>
      </c>
    </row>
    <row r="1371" spans="1:8">
      <c r="A1371">
        <f t="shared" si="63"/>
        <v>1.5915415807904001E-6</v>
      </c>
      <c r="B1371" s="9">
        <v>1.5915415807904001</v>
      </c>
      <c r="C1371">
        <f t="shared" si="64"/>
        <v>188366079541016.72</v>
      </c>
      <c r="D1371">
        <f t="shared" si="65"/>
        <v>188.36607954101672</v>
      </c>
      <c r="H1371" s="9">
        <v>10866</v>
      </c>
    </row>
    <row r="1372" spans="1:8">
      <c r="A1372">
        <f t="shared" si="63"/>
        <v>1.5918694647323698E-6</v>
      </c>
      <c r="B1372" s="9">
        <v>1.5918694647323699</v>
      </c>
      <c r="C1372">
        <f t="shared" si="64"/>
        <v>188327281000017.19</v>
      </c>
      <c r="D1372">
        <f t="shared" si="65"/>
        <v>188.32728100001719</v>
      </c>
      <c r="H1372" s="9">
        <v>10866</v>
      </c>
    </row>
    <row r="1373" spans="1:8">
      <c r="A1373">
        <f t="shared" si="63"/>
        <v>1.59219734867434E-6</v>
      </c>
      <c r="B1373" s="9">
        <v>1.5921973486743399</v>
      </c>
      <c r="C1373">
        <f t="shared" si="64"/>
        <v>188288498438718.37</v>
      </c>
      <c r="D1373">
        <f t="shared" si="65"/>
        <v>188.28849843871836</v>
      </c>
      <c r="H1373" s="9">
        <v>10866</v>
      </c>
    </row>
    <row r="1374" spans="1:8">
      <c r="A1374">
        <f t="shared" si="63"/>
        <v>1.5925252326163099E-6</v>
      </c>
      <c r="B1374" s="9">
        <v>1.59252523261631</v>
      </c>
      <c r="C1374">
        <f t="shared" si="64"/>
        <v>188249731847250.12</v>
      </c>
      <c r="D1374">
        <f t="shared" si="65"/>
        <v>188.24973184725013</v>
      </c>
      <c r="H1374" s="9">
        <v>10866</v>
      </c>
    </row>
    <row r="1375" spans="1:8">
      <c r="A1375">
        <f t="shared" si="63"/>
        <v>1.5928531165582801E-6</v>
      </c>
      <c r="B1375" s="9">
        <v>1.59285311655828</v>
      </c>
      <c r="C1375">
        <f t="shared" si="64"/>
        <v>188210981215750.44</v>
      </c>
      <c r="D1375">
        <f t="shared" si="65"/>
        <v>188.21098121575045</v>
      </c>
      <c r="H1375" s="9">
        <v>10866</v>
      </c>
    </row>
    <row r="1376" spans="1:8">
      <c r="A1376">
        <f t="shared" si="63"/>
        <v>1.59318100050025E-6</v>
      </c>
      <c r="B1376" s="9">
        <v>1.59318100050025</v>
      </c>
      <c r="C1376">
        <f t="shared" si="64"/>
        <v>188172246534365.41</v>
      </c>
      <c r="D1376">
        <f t="shared" si="65"/>
        <v>188.1722465343654</v>
      </c>
      <c r="H1376" s="9">
        <v>10866</v>
      </c>
    </row>
    <row r="1377" spans="1:8">
      <c r="A1377">
        <f t="shared" si="63"/>
        <v>1.5935088844422201E-6</v>
      </c>
      <c r="B1377" s="9">
        <v>1.5935088844422201</v>
      </c>
      <c r="C1377">
        <f t="shared" si="64"/>
        <v>188133527793249.25</v>
      </c>
      <c r="D1377">
        <f t="shared" si="65"/>
        <v>188.13352779324924</v>
      </c>
      <c r="H1377" s="9">
        <v>10866</v>
      </c>
    </row>
    <row r="1378" spans="1:8">
      <c r="A1378">
        <f t="shared" si="63"/>
        <v>1.5938367683841901E-6</v>
      </c>
      <c r="B1378" s="9">
        <v>1.5938367683841901</v>
      </c>
      <c r="C1378">
        <f t="shared" si="64"/>
        <v>188094824982564.22</v>
      </c>
      <c r="D1378">
        <f t="shared" si="65"/>
        <v>188.09482498256421</v>
      </c>
      <c r="H1378" s="9">
        <v>10866</v>
      </c>
    </row>
    <row r="1379" spans="1:8">
      <c r="A1379">
        <f t="shared" si="63"/>
        <v>1.5941646523261598E-6</v>
      </c>
      <c r="B1379" s="9">
        <v>1.5941646523261599</v>
      </c>
      <c r="C1379">
        <f t="shared" si="64"/>
        <v>188056138092480.81</v>
      </c>
      <c r="D1379">
        <f t="shared" si="65"/>
        <v>188.05613809248081</v>
      </c>
      <c r="H1379" s="9">
        <v>10866</v>
      </c>
    </row>
    <row r="1380" spans="1:8">
      <c r="A1380">
        <f t="shared" si="63"/>
        <v>1.5944925362681299E-6</v>
      </c>
      <c r="B1380" s="9">
        <v>1.5944925362681299</v>
      </c>
      <c r="C1380">
        <f t="shared" si="64"/>
        <v>188017467113177.44</v>
      </c>
      <c r="D1380">
        <f t="shared" si="65"/>
        <v>188.01746711317745</v>
      </c>
      <c r="H1380" s="9">
        <v>10866</v>
      </c>
    </row>
    <row r="1381" spans="1:8">
      <c r="A1381">
        <f t="shared" si="63"/>
        <v>1.59482042021011E-6</v>
      </c>
      <c r="B1381" s="9">
        <v>1.5948204202101099</v>
      </c>
      <c r="C1381">
        <f t="shared" si="64"/>
        <v>187978812034839.5</v>
      </c>
      <c r="D1381">
        <f t="shared" si="65"/>
        <v>187.97881203483951</v>
      </c>
      <c r="H1381" s="9">
        <v>10866</v>
      </c>
    </row>
    <row r="1382" spans="1:8">
      <c r="A1382">
        <f t="shared" si="63"/>
        <v>1.59514830415208E-6</v>
      </c>
      <c r="B1382" s="9">
        <v>1.59514830415208</v>
      </c>
      <c r="C1382">
        <f t="shared" si="64"/>
        <v>187940172847664</v>
      </c>
      <c r="D1382">
        <f t="shared" si="65"/>
        <v>187.940172847664</v>
      </c>
      <c r="H1382" s="9">
        <v>10866</v>
      </c>
    </row>
    <row r="1383" spans="1:8">
      <c r="A1383">
        <f t="shared" si="63"/>
        <v>1.5954761880940499E-6</v>
      </c>
      <c r="B1383" s="9">
        <v>1.59547618809405</v>
      </c>
      <c r="C1383">
        <f t="shared" si="64"/>
        <v>187901549541852.44</v>
      </c>
      <c r="D1383">
        <f t="shared" si="65"/>
        <v>187.90154954185243</v>
      </c>
      <c r="H1383" s="9">
        <v>10866</v>
      </c>
    </row>
    <row r="1384" spans="1:8">
      <c r="A1384">
        <f t="shared" si="63"/>
        <v>1.5958040720360201E-6</v>
      </c>
      <c r="B1384" s="9">
        <v>1.59580407203602</v>
      </c>
      <c r="C1384">
        <f t="shared" si="64"/>
        <v>187862942107615.56</v>
      </c>
      <c r="D1384">
        <f t="shared" si="65"/>
        <v>187.86294210761557</v>
      </c>
      <c r="H1384" s="9">
        <v>10866</v>
      </c>
    </row>
    <row r="1385" spans="1:8">
      <c r="A1385">
        <f t="shared" si="63"/>
        <v>1.59613195597799E-6</v>
      </c>
      <c r="B1385" s="9">
        <v>1.5961319559779901</v>
      </c>
      <c r="C1385">
        <f t="shared" si="64"/>
        <v>187824350535172.16</v>
      </c>
      <c r="D1385">
        <f t="shared" si="65"/>
        <v>187.82435053517216</v>
      </c>
      <c r="H1385" s="9">
        <v>10866</v>
      </c>
    </row>
    <row r="1386" spans="1:8">
      <c r="A1386">
        <f t="shared" si="63"/>
        <v>1.5964598399199601E-6</v>
      </c>
      <c r="B1386" s="9">
        <v>1.5964598399199601</v>
      </c>
      <c r="C1386">
        <f t="shared" si="64"/>
        <v>187785774814749.09</v>
      </c>
      <c r="D1386">
        <f t="shared" si="65"/>
        <v>187.78577481474909</v>
      </c>
      <c r="H1386" s="9">
        <v>10866</v>
      </c>
    </row>
    <row r="1387" spans="1:8">
      <c r="A1387">
        <f t="shared" si="63"/>
        <v>1.5967877238619299E-6</v>
      </c>
      <c r="B1387" s="9">
        <v>1.5967877238619299</v>
      </c>
      <c r="C1387">
        <f t="shared" si="64"/>
        <v>187747214936581.19</v>
      </c>
      <c r="D1387">
        <f t="shared" si="65"/>
        <v>187.7472149365812</v>
      </c>
      <c r="H1387" s="9">
        <v>10866</v>
      </c>
    </row>
    <row r="1388" spans="1:8">
      <c r="A1388">
        <f t="shared" si="63"/>
        <v>1.5971156078039E-6</v>
      </c>
      <c r="B1388" s="9">
        <v>1.5971156078038999</v>
      </c>
      <c r="C1388">
        <f t="shared" si="64"/>
        <v>187708670890911.28</v>
      </c>
      <c r="D1388">
        <f t="shared" si="65"/>
        <v>187.70867089091129</v>
      </c>
      <c r="H1388" s="9">
        <v>10866</v>
      </c>
    </row>
    <row r="1389" spans="1:8">
      <c r="A1389">
        <f t="shared" si="63"/>
        <v>1.5974434917458699E-6</v>
      </c>
      <c r="B1389" s="9">
        <v>1.59744349174587</v>
      </c>
      <c r="C1389">
        <f t="shared" si="64"/>
        <v>187670142667990.31</v>
      </c>
      <c r="D1389">
        <f t="shared" si="65"/>
        <v>187.67014266799032</v>
      </c>
      <c r="H1389" s="9">
        <v>10866</v>
      </c>
    </row>
    <row r="1390" spans="1:8">
      <c r="A1390">
        <f t="shared" si="63"/>
        <v>1.5977713756878401E-6</v>
      </c>
      <c r="B1390" s="9">
        <v>1.59777137568784</v>
      </c>
      <c r="C1390">
        <f t="shared" si="64"/>
        <v>187631630258077.09</v>
      </c>
      <c r="D1390">
        <f t="shared" si="65"/>
        <v>187.63163025807708</v>
      </c>
      <c r="H1390" s="9">
        <v>10866</v>
      </c>
    </row>
    <row r="1391" spans="1:8">
      <c r="A1391">
        <f t="shared" si="63"/>
        <v>1.59809925962981E-6</v>
      </c>
      <c r="B1391" s="9">
        <v>1.59809925962981</v>
      </c>
      <c r="C1391">
        <f t="shared" si="64"/>
        <v>187593133651438.59</v>
      </c>
      <c r="D1391">
        <f t="shared" si="65"/>
        <v>187.59313365143859</v>
      </c>
      <c r="H1391" s="9">
        <v>10866</v>
      </c>
    </row>
    <row r="1392" spans="1:8">
      <c r="A1392">
        <f t="shared" si="63"/>
        <v>1.5984271435717901E-6</v>
      </c>
      <c r="B1392" s="9">
        <v>1.5984271435717901</v>
      </c>
      <c r="C1392">
        <f t="shared" si="64"/>
        <v>187554652838348.44</v>
      </c>
      <c r="D1392">
        <f t="shared" si="65"/>
        <v>187.55465283834843</v>
      </c>
      <c r="H1392" s="9">
        <v>10866</v>
      </c>
    </row>
    <row r="1393" spans="1:8">
      <c r="A1393">
        <f t="shared" si="63"/>
        <v>1.5987550275137601E-6</v>
      </c>
      <c r="B1393" s="9">
        <v>1.5987550275137601</v>
      </c>
      <c r="C1393">
        <f t="shared" si="64"/>
        <v>187516187809091.81</v>
      </c>
      <c r="D1393">
        <f t="shared" si="65"/>
        <v>187.5161878090918</v>
      </c>
      <c r="H1393" s="9">
        <v>10866</v>
      </c>
    </row>
    <row r="1394" spans="1:8">
      <c r="A1394">
        <f t="shared" si="63"/>
        <v>1.5990829114557298E-6</v>
      </c>
      <c r="B1394" s="9">
        <v>1.5990829114557299</v>
      </c>
      <c r="C1394">
        <f t="shared" si="64"/>
        <v>187477738553958.44</v>
      </c>
      <c r="D1394">
        <f t="shared" si="65"/>
        <v>187.47773855395843</v>
      </c>
      <c r="H1394" s="9">
        <v>10866</v>
      </c>
    </row>
    <row r="1395" spans="1:8">
      <c r="A1395">
        <f t="shared" si="63"/>
        <v>1.5994107953976999E-6</v>
      </c>
      <c r="B1395" s="9">
        <v>1.5994107953976999</v>
      </c>
      <c r="C1395">
        <f t="shared" si="64"/>
        <v>187439305063247</v>
      </c>
      <c r="D1395">
        <f t="shared" si="65"/>
        <v>187.43930506324699</v>
      </c>
      <c r="H1395" s="9">
        <v>10866</v>
      </c>
    </row>
    <row r="1396" spans="1:8">
      <c r="A1396">
        <f t="shared" si="63"/>
        <v>1.5997386793396699E-6</v>
      </c>
      <c r="B1396" s="9">
        <v>1.59973867933967</v>
      </c>
      <c r="C1396">
        <f t="shared" si="64"/>
        <v>187400887327264.25</v>
      </c>
      <c r="D1396">
        <f t="shared" si="65"/>
        <v>187.40088732726426</v>
      </c>
      <c r="H1396" s="9">
        <v>10866</v>
      </c>
    </row>
    <row r="1397" spans="1:8">
      <c r="A1397">
        <f t="shared" si="63"/>
        <v>1.60006656328164E-6</v>
      </c>
      <c r="B1397" s="9">
        <v>1.60006656328164</v>
      </c>
      <c r="C1397">
        <f t="shared" si="64"/>
        <v>187362485336324.87</v>
      </c>
      <c r="D1397">
        <f t="shared" si="65"/>
        <v>187.36248533632488</v>
      </c>
      <c r="H1397" s="9">
        <v>10866</v>
      </c>
    </row>
    <row r="1398" spans="1:8">
      <c r="A1398">
        <f t="shared" si="63"/>
        <v>1.60039444722361E-6</v>
      </c>
      <c r="B1398" s="9">
        <v>1.60039444722361</v>
      </c>
      <c r="C1398">
        <f t="shared" si="64"/>
        <v>187324099080751.47</v>
      </c>
      <c r="D1398">
        <f t="shared" si="65"/>
        <v>187.32409908075147</v>
      </c>
      <c r="H1398" s="9">
        <v>10866</v>
      </c>
    </row>
    <row r="1399" spans="1:8">
      <c r="A1399">
        <f t="shared" si="63"/>
        <v>1.6007223311655801E-6</v>
      </c>
      <c r="B1399" s="9">
        <v>1.60072233116558</v>
      </c>
      <c r="C1399">
        <f t="shared" si="64"/>
        <v>187285728550874.59</v>
      </c>
      <c r="D1399">
        <f t="shared" si="65"/>
        <v>187.28572855087458</v>
      </c>
      <c r="H1399" s="9">
        <v>10866</v>
      </c>
    </row>
    <row r="1400" spans="1:8">
      <c r="A1400">
        <f t="shared" si="63"/>
        <v>1.60105021510755E-6</v>
      </c>
      <c r="B1400" s="9">
        <v>1.6010502151075501</v>
      </c>
      <c r="C1400">
        <f t="shared" si="64"/>
        <v>187247373737032.69</v>
      </c>
      <c r="D1400">
        <f t="shared" si="65"/>
        <v>187.24737373703269</v>
      </c>
      <c r="H1400" s="9">
        <v>10866</v>
      </c>
    </row>
    <row r="1401" spans="1:8">
      <c r="A1401">
        <f t="shared" si="63"/>
        <v>1.6013780990495202E-6</v>
      </c>
      <c r="B1401" s="9">
        <v>1.6013780990495201</v>
      </c>
      <c r="C1401">
        <f t="shared" si="64"/>
        <v>187209034629572.12</v>
      </c>
      <c r="D1401">
        <f t="shared" si="65"/>
        <v>187.20903462957213</v>
      </c>
      <c r="H1401" s="9">
        <v>10866</v>
      </c>
    </row>
    <row r="1402" spans="1:8">
      <c r="A1402">
        <f t="shared" si="63"/>
        <v>1.6017059829914999E-6</v>
      </c>
      <c r="B1402" s="9">
        <v>1.6017059829914999</v>
      </c>
      <c r="C1402">
        <f t="shared" si="64"/>
        <v>187170711218846.06</v>
      </c>
      <c r="D1402">
        <f t="shared" si="65"/>
        <v>187.17071121884607</v>
      </c>
      <c r="H1402" s="9">
        <v>10866</v>
      </c>
    </row>
    <row r="1403" spans="1:8">
      <c r="A1403">
        <f t="shared" si="63"/>
        <v>1.60203386693347E-6</v>
      </c>
      <c r="B1403" s="9">
        <v>1.6020338669334699</v>
      </c>
      <c r="C1403">
        <f t="shared" si="64"/>
        <v>187132403495218.94</v>
      </c>
      <c r="D1403">
        <f t="shared" si="65"/>
        <v>187.13240349521894</v>
      </c>
      <c r="H1403" s="9">
        <v>10866</v>
      </c>
    </row>
    <row r="1404" spans="1:8">
      <c r="A1404">
        <f t="shared" si="63"/>
        <v>1.6023617508754399E-6</v>
      </c>
      <c r="B1404" s="9">
        <v>1.60236175087544</v>
      </c>
      <c r="C1404">
        <f t="shared" si="64"/>
        <v>187094111449059.69</v>
      </c>
      <c r="D1404">
        <f t="shared" si="65"/>
        <v>187.09411144905968</v>
      </c>
      <c r="H1404" s="9">
        <v>10866</v>
      </c>
    </row>
    <row r="1405" spans="1:8">
      <c r="A1405">
        <f t="shared" si="63"/>
        <v>1.6026896348174101E-6</v>
      </c>
      <c r="B1405" s="9">
        <v>1.60268963481741</v>
      </c>
      <c r="C1405">
        <f t="shared" si="64"/>
        <v>187055835070746.25</v>
      </c>
      <c r="D1405">
        <f t="shared" si="65"/>
        <v>187.05583507074624</v>
      </c>
      <c r="H1405" s="9">
        <v>10866</v>
      </c>
    </row>
    <row r="1406" spans="1:8">
      <c r="A1406">
        <f t="shared" si="63"/>
        <v>1.60301751875938E-6</v>
      </c>
      <c r="B1406" s="9">
        <v>1.60301751875938</v>
      </c>
      <c r="C1406">
        <f t="shared" si="64"/>
        <v>187017574350664.44</v>
      </c>
      <c r="D1406">
        <f t="shared" si="65"/>
        <v>187.01757435066443</v>
      </c>
      <c r="H1406" s="9">
        <v>10866</v>
      </c>
    </row>
    <row r="1407" spans="1:8">
      <c r="A1407">
        <f t="shared" si="63"/>
        <v>1.60334540270135E-6</v>
      </c>
      <c r="B1407" s="9">
        <v>1.6033454027013501</v>
      </c>
      <c r="C1407">
        <f t="shared" si="64"/>
        <v>186979329279207.94</v>
      </c>
      <c r="D1407">
        <f t="shared" si="65"/>
        <v>186.97932927920795</v>
      </c>
      <c r="H1407" s="9">
        <v>10866</v>
      </c>
    </row>
    <row r="1408" spans="1:8">
      <c r="A1408">
        <f t="shared" si="63"/>
        <v>1.6036732866433201E-6</v>
      </c>
      <c r="B1408" s="9">
        <v>1.6036732866433201</v>
      </c>
      <c r="C1408">
        <f t="shared" si="64"/>
        <v>186941099846778.28</v>
      </c>
      <c r="D1408">
        <f t="shared" si="65"/>
        <v>186.94109984677829</v>
      </c>
      <c r="H1408" s="9">
        <v>10866</v>
      </c>
    </row>
    <row r="1409" spans="1:8">
      <c r="A1409">
        <f t="shared" si="63"/>
        <v>1.6040011705852898E-6</v>
      </c>
      <c r="B1409" s="9">
        <v>1.6040011705852899</v>
      </c>
      <c r="C1409">
        <f t="shared" si="64"/>
        <v>186902886043784.87</v>
      </c>
      <c r="D1409">
        <f t="shared" si="65"/>
        <v>186.90288604378489</v>
      </c>
      <c r="H1409" s="9">
        <v>10866</v>
      </c>
    </row>
    <row r="1410" spans="1:8">
      <c r="A1410">
        <f t="shared" si="63"/>
        <v>1.60432905452726E-6</v>
      </c>
      <c r="B1410" s="9">
        <v>1.6043290545272599</v>
      </c>
      <c r="C1410">
        <f t="shared" si="64"/>
        <v>186864687860644.91</v>
      </c>
      <c r="D1410">
        <f t="shared" si="65"/>
        <v>186.86468786064489</v>
      </c>
      <c r="H1410" s="9">
        <v>10866</v>
      </c>
    </row>
    <row r="1411" spans="1:8">
      <c r="A1411">
        <f t="shared" si="63"/>
        <v>1.6046569384692299E-6</v>
      </c>
      <c r="B1411" s="9">
        <v>1.60465693846923</v>
      </c>
      <c r="C1411">
        <f t="shared" si="64"/>
        <v>186826505287783.47</v>
      </c>
      <c r="D1411">
        <f t="shared" si="65"/>
        <v>186.82650528778348</v>
      </c>
      <c r="H1411" s="9">
        <v>10866</v>
      </c>
    </row>
    <row r="1412" spans="1:8">
      <c r="A1412">
        <f t="shared" si="63"/>
        <v>1.60498482241121E-6</v>
      </c>
      <c r="B1412" s="9">
        <v>1.60498482241121</v>
      </c>
      <c r="C1412">
        <f t="shared" si="64"/>
        <v>186788338315632.22</v>
      </c>
      <c r="D1412">
        <f t="shared" si="65"/>
        <v>186.78833831563222</v>
      </c>
      <c r="H1412" s="9">
        <v>10866</v>
      </c>
    </row>
    <row r="1413" spans="1:8">
      <c r="A1413">
        <f t="shared" si="63"/>
        <v>1.60531270635318E-6</v>
      </c>
      <c r="B1413" s="9">
        <v>1.60531270635318</v>
      </c>
      <c r="C1413">
        <f t="shared" si="64"/>
        <v>186750186934634.25</v>
      </c>
      <c r="D1413">
        <f t="shared" si="65"/>
        <v>186.75018693463426</v>
      </c>
      <c r="H1413" s="9">
        <v>10866</v>
      </c>
    </row>
    <row r="1414" spans="1:8">
      <c r="A1414">
        <f t="shared" si="63"/>
        <v>1.6056405902951501E-6</v>
      </c>
      <c r="B1414" s="9">
        <v>1.60564059029515</v>
      </c>
      <c r="C1414">
        <f t="shared" si="64"/>
        <v>186712051135236.87</v>
      </c>
      <c r="D1414">
        <f t="shared" si="65"/>
        <v>186.71205113523686</v>
      </c>
      <c r="H1414" s="9">
        <v>10866</v>
      </c>
    </row>
    <row r="1415" spans="1:8">
      <c r="A1415">
        <f t="shared" ref="A1415:A1478" si="66">B1415/1000000</f>
        <v>1.60596847423712E-6</v>
      </c>
      <c r="B1415" s="9">
        <v>1.6059684742371201</v>
      </c>
      <c r="C1415">
        <f t="shared" ref="C1415:C1478" si="67">wavelength_to_freq(B1415)</f>
        <v>186673930907896.44</v>
      </c>
      <c r="D1415">
        <f t="shared" ref="D1415:D1478" si="68">C1415/1000000000000</f>
        <v>186.67393090789645</v>
      </c>
      <c r="H1415" s="9">
        <v>10866</v>
      </c>
    </row>
    <row r="1416" spans="1:8">
      <c r="A1416">
        <f t="shared" si="66"/>
        <v>1.60629635817909E-6</v>
      </c>
      <c r="B1416" s="9">
        <v>1.6062963581790899</v>
      </c>
      <c r="C1416">
        <f t="shared" si="67"/>
        <v>186635826243077</v>
      </c>
      <c r="D1416">
        <f t="shared" si="68"/>
        <v>186.63582624307699</v>
      </c>
      <c r="H1416" s="9">
        <v>10866</v>
      </c>
    </row>
    <row r="1417" spans="1:8">
      <c r="A1417">
        <f t="shared" si="66"/>
        <v>1.6066242421210599E-6</v>
      </c>
      <c r="B1417" s="9">
        <v>1.6066242421210599</v>
      </c>
      <c r="C1417">
        <f t="shared" si="67"/>
        <v>186597737131250.44</v>
      </c>
      <c r="D1417">
        <f t="shared" si="68"/>
        <v>186.59773713125043</v>
      </c>
      <c r="H1417" s="9">
        <v>10866</v>
      </c>
    </row>
    <row r="1418" spans="1:8">
      <c r="A1418">
        <f t="shared" si="66"/>
        <v>1.6069521260630298E-6</v>
      </c>
      <c r="B1418" s="9">
        <v>1.60695212606303</v>
      </c>
      <c r="C1418">
        <f t="shared" si="67"/>
        <v>186559663562896.44</v>
      </c>
      <c r="D1418">
        <f t="shared" si="68"/>
        <v>186.55966356289645</v>
      </c>
      <c r="H1418" s="9">
        <v>10866</v>
      </c>
    </row>
    <row r="1419" spans="1:8">
      <c r="A1419">
        <f t="shared" si="66"/>
        <v>1.607280010005E-6</v>
      </c>
      <c r="B1419" s="9">
        <v>1.607280010005</v>
      </c>
      <c r="C1419">
        <f t="shared" si="67"/>
        <v>186521605528502.41</v>
      </c>
      <c r="D1419">
        <f t="shared" si="68"/>
        <v>186.52160552850242</v>
      </c>
      <c r="H1419" s="9">
        <v>10866</v>
      </c>
    </row>
    <row r="1420" spans="1:8">
      <c r="A1420">
        <f t="shared" si="66"/>
        <v>1.6076078939469699E-6</v>
      </c>
      <c r="B1420" s="9">
        <v>1.60760789394697</v>
      </c>
      <c r="C1420">
        <f t="shared" si="67"/>
        <v>186483563018563.53</v>
      </c>
      <c r="D1420">
        <f t="shared" si="68"/>
        <v>186.48356301856353</v>
      </c>
      <c r="H1420" s="9">
        <v>10866</v>
      </c>
    </row>
    <row r="1421" spans="1:8">
      <c r="A1421">
        <f t="shared" si="66"/>
        <v>1.6079357778889401E-6</v>
      </c>
      <c r="B1421" s="9">
        <v>1.60793577788894</v>
      </c>
      <c r="C1421">
        <f t="shared" si="67"/>
        <v>186445536023582.81</v>
      </c>
      <c r="D1421">
        <f t="shared" si="68"/>
        <v>186.4455360235828</v>
      </c>
      <c r="H1421" s="9">
        <v>10866</v>
      </c>
    </row>
    <row r="1422" spans="1:8">
      <c r="A1422">
        <f t="shared" si="66"/>
        <v>1.60826366183092E-6</v>
      </c>
      <c r="B1422" s="9">
        <v>1.6082636618309201</v>
      </c>
      <c r="C1422">
        <f t="shared" si="67"/>
        <v>186407524534069.69</v>
      </c>
      <c r="D1422">
        <f t="shared" si="68"/>
        <v>186.40752453406969</v>
      </c>
      <c r="H1422" s="9">
        <v>10866</v>
      </c>
    </row>
    <row r="1423" spans="1:8">
      <c r="A1423">
        <f t="shared" si="66"/>
        <v>1.6085915457728901E-6</v>
      </c>
      <c r="B1423" s="9">
        <v>1.6085915457728901</v>
      </c>
      <c r="C1423">
        <f t="shared" si="67"/>
        <v>186369528540544.97</v>
      </c>
      <c r="D1423">
        <f t="shared" si="68"/>
        <v>186.36952854054496</v>
      </c>
      <c r="H1423" s="9">
        <v>10866</v>
      </c>
    </row>
    <row r="1424" spans="1:8">
      <c r="A1424">
        <f t="shared" si="66"/>
        <v>1.6089194297148598E-6</v>
      </c>
      <c r="B1424" s="9">
        <v>1.6089194297148599</v>
      </c>
      <c r="C1424">
        <f t="shared" si="67"/>
        <v>186331548033533.66</v>
      </c>
      <c r="D1424">
        <f t="shared" si="68"/>
        <v>186.33154803353366</v>
      </c>
      <c r="H1424" s="9">
        <v>10866</v>
      </c>
    </row>
    <row r="1425" spans="1:8">
      <c r="A1425">
        <f t="shared" si="66"/>
        <v>1.60924731365683E-6</v>
      </c>
      <c r="B1425" s="9">
        <v>1.6092473136568299</v>
      </c>
      <c r="C1425">
        <f t="shared" si="67"/>
        <v>186293583003569.56</v>
      </c>
      <c r="D1425">
        <f t="shared" si="68"/>
        <v>186.29358300356955</v>
      </c>
      <c r="H1425" s="9">
        <v>10866</v>
      </c>
    </row>
    <row r="1426" spans="1:8">
      <c r="A1426">
        <f t="shared" si="66"/>
        <v>1.6095751975987999E-6</v>
      </c>
      <c r="B1426" s="9">
        <v>1.6095751975988</v>
      </c>
      <c r="C1426">
        <f t="shared" si="67"/>
        <v>186255633441194.31</v>
      </c>
      <c r="D1426">
        <f t="shared" si="68"/>
        <v>186.25563344119431</v>
      </c>
      <c r="H1426" s="9">
        <v>10866</v>
      </c>
    </row>
    <row r="1427" spans="1:8">
      <c r="A1427">
        <f t="shared" si="66"/>
        <v>1.6099030815407701E-6</v>
      </c>
      <c r="B1427" s="9">
        <v>1.60990308154077</v>
      </c>
      <c r="C1427">
        <f t="shared" si="67"/>
        <v>186217699336957.19</v>
      </c>
      <c r="D1427">
        <f t="shared" si="68"/>
        <v>186.2176993369572</v>
      </c>
      <c r="H1427" s="9">
        <v>10866</v>
      </c>
    </row>
    <row r="1428" spans="1:8">
      <c r="A1428">
        <f t="shared" si="66"/>
        <v>1.61023096548274E-6</v>
      </c>
      <c r="B1428" s="9">
        <v>1.61023096548274</v>
      </c>
      <c r="C1428">
        <f t="shared" si="67"/>
        <v>186179780681415.22</v>
      </c>
      <c r="D1428">
        <f t="shared" si="68"/>
        <v>186.17978068141522</v>
      </c>
      <c r="H1428" s="9">
        <v>10866</v>
      </c>
    </row>
    <row r="1429" spans="1:8">
      <c r="A1429">
        <f t="shared" si="66"/>
        <v>1.6105588494247102E-6</v>
      </c>
      <c r="B1429" s="9">
        <v>1.6105588494247101</v>
      </c>
      <c r="C1429">
        <f t="shared" si="67"/>
        <v>186141877465133.03</v>
      </c>
      <c r="D1429">
        <f t="shared" si="68"/>
        <v>186.14187746513304</v>
      </c>
      <c r="H1429" s="9">
        <v>10866</v>
      </c>
    </row>
    <row r="1430" spans="1:8">
      <c r="A1430">
        <f t="shared" si="66"/>
        <v>1.6108867333666801E-6</v>
      </c>
      <c r="B1430" s="9">
        <v>1.6108867333666801</v>
      </c>
      <c r="C1430">
        <f t="shared" si="67"/>
        <v>186103989678683</v>
      </c>
      <c r="D1430">
        <f t="shared" si="68"/>
        <v>186.10398967868301</v>
      </c>
      <c r="H1430" s="9">
        <v>10866</v>
      </c>
    </row>
    <row r="1431" spans="1:8">
      <c r="A1431">
        <f t="shared" si="66"/>
        <v>1.6112146173086498E-6</v>
      </c>
      <c r="B1431" s="9">
        <v>1.6112146173086499</v>
      </c>
      <c r="C1431">
        <f t="shared" si="67"/>
        <v>186066117312645.22</v>
      </c>
      <c r="D1431">
        <f t="shared" si="68"/>
        <v>186.06611731264522</v>
      </c>
      <c r="H1431" s="9">
        <v>10866</v>
      </c>
    </row>
    <row r="1432" spans="1:8">
      <c r="A1432">
        <f t="shared" si="66"/>
        <v>1.6115425012506299E-6</v>
      </c>
      <c r="B1432" s="9">
        <v>1.6115425012506299</v>
      </c>
      <c r="C1432">
        <f t="shared" si="67"/>
        <v>186028260357606.12</v>
      </c>
      <c r="D1432">
        <f t="shared" si="68"/>
        <v>186.02826035760611</v>
      </c>
      <c r="H1432" s="9">
        <v>10866</v>
      </c>
    </row>
    <row r="1433" spans="1:8">
      <c r="A1433">
        <f t="shared" si="66"/>
        <v>1.6118703851925998E-6</v>
      </c>
      <c r="B1433" s="9">
        <v>1.6118703851926</v>
      </c>
      <c r="C1433">
        <f t="shared" si="67"/>
        <v>185990418804163.5</v>
      </c>
      <c r="D1433">
        <f t="shared" si="68"/>
        <v>185.99041880416351</v>
      </c>
      <c r="H1433" s="9">
        <v>10866</v>
      </c>
    </row>
    <row r="1434" spans="1:8">
      <c r="A1434">
        <f t="shared" si="66"/>
        <v>1.61219826913457E-6</v>
      </c>
      <c r="B1434" s="9">
        <v>1.61219826913457</v>
      </c>
      <c r="C1434">
        <f t="shared" si="67"/>
        <v>185952592642919.12</v>
      </c>
      <c r="D1434">
        <f t="shared" si="68"/>
        <v>185.95259264291911</v>
      </c>
      <c r="H1434" s="9">
        <v>10866</v>
      </c>
    </row>
    <row r="1435" spans="1:8">
      <c r="A1435">
        <f t="shared" si="66"/>
        <v>1.6125261530765399E-6</v>
      </c>
      <c r="B1435" s="9">
        <v>1.61252615307654</v>
      </c>
      <c r="C1435">
        <f t="shared" si="67"/>
        <v>185914781864483.72</v>
      </c>
      <c r="D1435">
        <f t="shared" si="68"/>
        <v>185.91478186448373</v>
      </c>
      <c r="H1435" s="9">
        <v>10866</v>
      </c>
    </row>
    <row r="1436" spans="1:8">
      <c r="A1436">
        <f t="shared" si="66"/>
        <v>1.6128540370185101E-6</v>
      </c>
      <c r="B1436" s="9">
        <v>1.61285403701851</v>
      </c>
      <c r="C1436">
        <f t="shared" si="67"/>
        <v>185876986459475.5</v>
      </c>
      <c r="D1436">
        <f t="shared" si="68"/>
        <v>185.87698645947549</v>
      </c>
      <c r="H1436" s="9">
        <v>10866</v>
      </c>
    </row>
    <row r="1437" spans="1:8">
      <c r="A1437">
        <f t="shared" si="66"/>
        <v>1.61318192096048E-6</v>
      </c>
      <c r="B1437" s="9">
        <v>1.6131819209604801</v>
      </c>
      <c r="C1437">
        <f t="shared" si="67"/>
        <v>185839206418520.44</v>
      </c>
      <c r="D1437">
        <f t="shared" si="68"/>
        <v>185.83920641852043</v>
      </c>
      <c r="H1437" s="9">
        <v>10866</v>
      </c>
    </row>
    <row r="1438" spans="1:8">
      <c r="A1438">
        <f t="shared" si="66"/>
        <v>1.6135098049024502E-6</v>
      </c>
      <c r="B1438" s="9">
        <v>1.6135098049024501</v>
      </c>
      <c r="C1438">
        <f t="shared" si="67"/>
        <v>185801441732252.06</v>
      </c>
      <c r="D1438">
        <f t="shared" si="68"/>
        <v>185.80144173225207</v>
      </c>
      <c r="H1438" s="9">
        <v>10866</v>
      </c>
    </row>
    <row r="1439" spans="1:8">
      <c r="A1439">
        <f t="shared" si="66"/>
        <v>1.6138376888444199E-6</v>
      </c>
      <c r="B1439" s="9">
        <v>1.6138376888444199</v>
      </c>
      <c r="C1439">
        <f t="shared" si="67"/>
        <v>185763692391311.56</v>
      </c>
      <c r="D1439">
        <f t="shared" si="68"/>
        <v>185.76369239131157</v>
      </c>
      <c r="H1439" s="9">
        <v>10866</v>
      </c>
    </row>
    <row r="1440" spans="1:8">
      <c r="A1440">
        <f t="shared" si="66"/>
        <v>1.61416557278639E-6</v>
      </c>
      <c r="B1440" s="9">
        <v>1.6141655727863899</v>
      </c>
      <c r="C1440">
        <f t="shared" si="67"/>
        <v>185725958386347.59</v>
      </c>
      <c r="D1440">
        <f t="shared" si="68"/>
        <v>185.7259583863476</v>
      </c>
      <c r="H1440" s="9">
        <v>10866</v>
      </c>
    </row>
    <row r="1441" spans="1:8">
      <c r="A1441">
        <f t="shared" si="66"/>
        <v>1.61449345672836E-6</v>
      </c>
      <c r="B1441" s="9">
        <v>1.61449345672836</v>
      </c>
      <c r="C1441">
        <f t="shared" si="67"/>
        <v>185688239708016.59</v>
      </c>
      <c r="D1441">
        <f t="shared" si="68"/>
        <v>185.6882397080166</v>
      </c>
      <c r="H1441" s="9">
        <v>10866</v>
      </c>
    </row>
    <row r="1442" spans="1:8">
      <c r="A1442">
        <f t="shared" si="66"/>
        <v>1.6148213406703401E-6</v>
      </c>
      <c r="B1442" s="9">
        <v>1.61482134067034</v>
      </c>
      <c r="C1442">
        <f t="shared" si="67"/>
        <v>185650536346981.28</v>
      </c>
      <c r="D1442">
        <f t="shared" si="68"/>
        <v>185.65053634698128</v>
      </c>
      <c r="H1442" s="9">
        <v>10866</v>
      </c>
    </row>
    <row r="1443" spans="1:8">
      <c r="A1443">
        <f t="shared" si="66"/>
        <v>1.61514922461231E-6</v>
      </c>
      <c r="B1443" s="9">
        <v>1.61514922461231</v>
      </c>
      <c r="C1443">
        <f t="shared" si="67"/>
        <v>185612848293915.53</v>
      </c>
      <c r="D1443">
        <f t="shared" si="68"/>
        <v>185.61284829391553</v>
      </c>
      <c r="H1443" s="9">
        <v>10866</v>
      </c>
    </row>
    <row r="1444" spans="1:8">
      <c r="A1444">
        <f t="shared" si="66"/>
        <v>1.6154771085542802E-6</v>
      </c>
      <c r="B1444" s="9">
        <v>1.6154771085542801</v>
      </c>
      <c r="C1444">
        <f t="shared" si="67"/>
        <v>185575175539497.25</v>
      </c>
      <c r="D1444">
        <f t="shared" si="68"/>
        <v>185.57517553949725</v>
      </c>
      <c r="H1444" s="9">
        <v>10866</v>
      </c>
    </row>
    <row r="1445" spans="1:8">
      <c r="A1445">
        <f t="shared" si="66"/>
        <v>1.6158049924962501E-6</v>
      </c>
      <c r="B1445" s="9">
        <v>1.6158049924962501</v>
      </c>
      <c r="C1445">
        <f t="shared" si="67"/>
        <v>185537518074413.16</v>
      </c>
      <c r="D1445">
        <f t="shared" si="68"/>
        <v>185.53751807441316</v>
      </c>
      <c r="H1445" s="9">
        <v>10866</v>
      </c>
    </row>
    <row r="1446" spans="1:8">
      <c r="A1446">
        <f t="shared" si="66"/>
        <v>1.6161328764382198E-6</v>
      </c>
      <c r="B1446" s="9">
        <v>1.6161328764382199</v>
      </c>
      <c r="C1446">
        <f t="shared" si="67"/>
        <v>185499875889357.41</v>
      </c>
      <c r="D1446">
        <f t="shared" si="68"/>
        <v>185.49987588935741</v>
      </c>
      <c r="H1446" s="9">
        <v>10866</v>
      </c>
    </row>
    <row r="1447" spans="1:8">
      <c r="A1447">
        <f t="shared" si="66"/>
        <v>1.61646076038019E-6</v>
      </c>
      <c r="B1447" s="9">
        <v>1.6164607603801899</v>
      </c>
      <c r="C1447">
        <f t="shared" si="67"/>
        <v>185462248975031.81</v>
      </c>
      <c r="D1447">
        <f t="shared" si="68"/>
        <v>185.46224897503183</v>
      </c>
      <c r="H1447" s="9">
        <v>10866</v>
      </c>
    </row>
    <row r="1448" spans="1:8">
      <c r="A1448">
        <f t="shared" si="66"/>
        <v>1.6167886443221599E-6</v>
      </c>
      <c r="B1448" s="9">
        <v>1.61678864432216</v>
      </c>
      <c r="C1448">
        <f t="shared" si="67"/>
        <v>185424637322145.62</v>
      </c>
      <c r="D1448">
        <f t="shared" si="68"/>
        <v>185.42463732214563</v>
      </c>
      <c r="H1448" s="9">
        <v>10866</v>
      </c>
    </row>
    <row r="1449" spans="1:8">
      <c r="A1449">
        <f t="shared" si="66"/>
        <v>1.61711652826413E-6</v>
      </c>
      <c r="B1449" s="9">
        <v>1.61711652826413</v>
      </c>
      <c r="C1449">
        <f t="shared" si="67"/>
        <v>185387040921415.72</v>
      </c>
      <c r="D1449">
        <f t="shared" si="68"/>
        <v>185.38704092141572</v>
      </c>
      <c r="H1449" s="9">
        <v>10866</v>
      </c>
    </row>
    <row r="1450" spans="1:8">
      <c r="A1450">
        <f t="shared" si="66"/>
        <v>1.6174444122061E-6</v>
      </c>
      <c r="B1450" s="9">
        <v>1.6174444122061</v>
      </c>
      <c r="C1450">
        <f t="shared" si="67"/>
        <v>185349459763566.5</v>
      </c>
      <c r="D1450">
        <f t="shared" si="68"/>
        <v>185.3494597635665</v>
      </c>
      <c r="H1450" s="9">
        <v>10866</v>
      </c>
    </row>
    <row r="1451" spans="1:8">
      <c r="A1451">
        <f t="shared" si="66"/>
        <v>1.6177722961480701E-6</v>
      </c>
      <c r="B1451" s="9">
        <v>1.6177722961480701</v>
      </c>
      <c r="C1451">
        <f t="shared" si="67"/>
        <v>185311893839329.81</v>
      </c>
      <c r="D1451">
        <f t="shared" si="68"/>
        <v>185.31189383932983</v>
      </c>
      <c r="H1451" s="9">
        <v>10866</v>
      </c>
    </row>
    <row r="1452" spans="1:8">
      <c r="A1452">
        <f t="shared" si="66"/>
        <v>1.6181001800900401E-6</v>
      </c>
      <c r="B1452" s="9">
        <v>1.6181001800900401</v>
      </c>
      <c r="C1452">
        <f t="shared" si="67"/>
        <v>185274343139445.09</v>
      </c>
      <c r="D1452">
        <f t="shared" si="68"/>
        <v>185.27434313944511</v>
      </c>
      <c r="H1452" s="9">
        <v>10866</v>
      </c>
    </row>
    <row r="1453" spans="1:8">
      <c r="A1453">
        <f t="shared" si="66"/>
        <v>1.6184280640320202E-6</v>
      </c>
      <c r="B1453" s="9">
        <v>1.6184280640320201</v>
      </c>
      <c r="C1453">
        <f t="shared" si="67"/>
        <v>185236807654658.09</v>
      </c>
      <c r="D1453">
        <f t="shared" si="68"/>
        <v>185.23680765465809</v>
      </c>
      <c r="H1453" s="9">
        <v>10866</v>
      </c>
    </row>
    <row r="1454" spans="1:8">
      <c r="A1454">
        <f t="shared" si="66"/>
        <v>1.6187559479739899E-6</v>
      </c>
      <c r="B1454" s="9">
        <v>1.6187559479739899</v>
      </c>
      <c r="C1454">
        <f t="shared" si="67"/>
        <v>185199287375725.56</v>
      </c>
      <c r="D1454">
        <f t="shared" si="68"/>
        <v>185.19928737572556</v>
      </c>
      <c r="H1454" s="9">
        <v>10866</v>
      </c>
    </row>
    <row r="1455" spans="1:8">
      <c r="A1455">
        <f t="shared" si="66"/>
        <v>1.61908383191596E-6</v>
      </c>
      <c r="B1455" s="9">
        <v>1.6190838319159599</v>
      </c>
      <c r="C1455">
        <f t="shared" si="67"/>
        <v>185161782293408.16</v>
      </c>
      <c r="D1455">
        <f t="shared" si="68"/>
        <v>185.16178229340815</v>
      </c>
      <c r="H1455" s="9">
        <v>10866</v>
      </c>
    </row>
    <row r="1456" spans="1:8">
      <c r="A1456">
        <f t="shared" si="66"/>
        <v>1.61941171585793E-6</v>
      </c>
      <c r="B1456" s="9">
        <v>1.61941171585793</v>
      </c>
      <c r="C1456">
        <f t="shared" si="67"/>
        <v>185124292398475.28</v>
      </c>
      <c r="D1456">
        <f t="shared" si="68"/>
        <v>185.12429239847529</v>
      </c>
      <c r="H1456" s="9">
        <v>10866</v>
      </c>
    </row>
    <row r="1457" spans="1:8">
      <c r="A1457">
        <f t="shared" si="66"/>
        <v>1.6197395997999001E-6</v>
      </c>
      <c r="B1457" s="9">
        <v>1.6197395997999</v>
      </c>
      <c r="C1457">
        <f t="shared" si="67"/>
        <v>185086817681703.81</v>
      </c>
      <c r="D1457">
        <f t="shared" si="68"/>
        <v>185.08681768170382</v>
      </c>
      <c r="H1457" s="9">
        <v>10866</v>
      </c>
    </row>
    <row r="1458" spans="1:8">
      <c r="A1458">
        <f t="shared" si="66"/>
        <v>1.6200674837418701E-6</v>
      </c>
      <c r="B1458" s="9">
        <v>1.62006748374187</v>
      </c>
      <c r="C1458">
        <f t="shared" si="67"/>
        <v>185049358133878.06</v>
      </c>
      <c r="D1458">
        <f t="shared" si="68"/>
        <v>185.04935813387806</v>
      </c>
      <c r="H1458" s="9">
        <v>10866</v>
      </c>
    </row>
    <row r="1459" spans="1:8">
      <c r="A1459">
        <f t="shared" si="66"/>
        <v>1.62039536768384E-6</v>
      </c>
      <c r="B1459" s="9">
        <v>1.6203953676838401</v>
      </c>
      <c r="C1459">
        <f t="shared" si="67"/>
        <v>185011913745789.81</v>
      </c>
      <c r="D1459">
        <f t="shared" si="68"/>
        <v>185.01191374578983</v>
      </c>
      <c r="H1459" s="9">
        <v>10866</v>
      </c>
    </row>
    <row r="1460" spans="1:8">
      <c r="A1460">
        <f t="shared" si="66"/>
        <v>1.6207232516258101E-6</v>
      </c>
      <c r="B1460" s="9">
        <v>1.6207232516258101</v>
      </c>
      <c r="C1460">
        <f t="shared" si="67"/>
        <v>184974484508238.28</v>
      </c>
      <c r="D1460">
        <f t="shared" si="68"/>
        <v>184.97448450823828</v>
      </c>
      <c r="H1460" s="9">
        <v>10866</v>
      </c>
    </row>
    <row r="1461" spans="1:8">
      <c r="A1461">
        <f t="shared" si="66"/>
        <v>1.6210511355677799E-6</v>
      </c>
      <c r="B1461" s="9">
        <v>1.6210511355677799</v>
      </c>
      <c r="C1461">
        <f t="shared" si="67"/>
        <v>184937070412030.19</v>
      </c>
      <c r="D1461">
        <f t="shared" si="68"/>
        <v>184.93707041203018</v>
      </c>
      <c r="H1461" s="9">
        <v>10866</v>
      </c>
    </row>
    <row r="1462" spans="1:8">
      <c r="A1462">
        <f t="shared" si="66"/>
        <v>1.62137901950975E-6</v>
      </c>
      <c r="B1462" s="9">
        <v>1.6213790195097499</v>
      </c>
      <c r="C1462">
        <f t="shared" si="67"/>
        <v>184899671447979.56</v>
      </c>
      <c r="D1462">
        <f t="shared" si="68"/>
        <v>184.89967144797956</v>
      </c>
      <c r="H1462" s="9">
        <v>10866</v>
      </c>
    </row>
    <row r="1463" spans="1:8">
      <c r="A1463">
        <f t="shared" si="66"/>
        <v>1.6217069034517299E-6</v>
      </c>
      <c r="B1463" s="9">
        <v>1.62170690345173</v>
      </c>
      <c r="C1463">
        <f t="shared" si="67"/>
        <v>184862287606906.84</v>
      </c>
      <c r="D1463">
        <f t="shared" si="68"/>
        <v>184.86228760690685</v>
      </c>
      <c r="H1463" s="9">
        <v>10866</v>
      </c>
    </row>
    <row r="1464" spans="1:8">
      <c r="A1464">
        <f t="shared" si="66"/>
        <v>1.6220347873937E-6</v>
      </c>
      <c r="B1464" s="9">
        <v>1.6220347873937</v>
      </c>
      <c r="C1464">
        <f t="shared" si="67"/>
        <v>184824918879643.25</v>
      </c>
      <c r="D1464">
        <f t="shared" si="68"/>
        <v>184.82491887964326</v>
      </c>
      <c r="H1464" s="9">
        <v>10866</v>
      </c>
    </row>
    <row r="1465" spans="1:8">
      <c r="A1465">
        <f t="shared" si="66"/>
        <v>1.62236267133567E-6</v>
      </c>
      <c r="B1465" s="9">
        <v>1.62236267133567</v>
      </c>
      <c r="C1465">
        <f t="shared" si="67"/>
        <v>184787565257024.06</v>
      </c>
      <c r="D1465">
        <f t="shared" si="68"/>
        <v>184.78756525702406</v>
      </c>
      <c r="H1465" s="9">
        <v>10866</v>
      </c>
    </row>
    <row r="1466" spans="1:8">
      <c r="A1466">
        <f t="shared" si="66"/>
        <v>1.6226905552776401E-6</v>
      </c>
      <c r="B1466" s="9">
        <v>1.6226905552776401</v>
      </c>
      <c r="C1466">
        <f t="shared" si="67"/>
        <v>184750226729893.03</v>
      </c>
      <c r="D1466">
        <f t="shared" si="68"/>
        <v>184.75022672989303</v>
      </c>
      <c r="H1466" s="9">
        <v>10866</v>
      </c>
    </row>
    <row r="1467" spans="1:8">
      <c r="A1467">
        <f t="shared" si="66"/>
        <v>1.6230184392196101E-6</v>
      </c>
      <c r="B1467" s="9">
        <v>1.6230184392196101</v>
      </c>
      <c r="C1467">
        <f t="shared" si="67"/>
        <v>184712903289101.31</v>
      </c>
      <c r="D1467">
        <f t="shared" si="68"/>
        <v>184.71290328910132</v>
      </c>
      <c r="H1467" s="9">
        <v>10866</v>
      </c>
    </row>
    <row r="1468" spans="1:8">
      <c r="A1468">
        <f t="shared" si="66"/>
        <v>1.62334632316158E-6</v>
      </c>
      <c r="B1468" s="9">
        <v>1.6233463231615799</v>
      </c>
      <c r="C1468">
        <f t="shared" si="67"/>
        <v>184675594925507.56</v>
      </c>
      <c r="D1468">
        <f t="shared" si="68"/>
        <v>184.67559492550757</v>
      </c>
      <c r="H1468" s="9">
        <v>10866</v>
      </c>
    </row>
    <row r="1469" spans="1:8">
      <c r="A1469">
        <f t="shared" si="66"/>
        <v>1.6236742071035499E-6</v>
      </c>
      <c r="B1469" s="9">
        <v>1.6236742071035499</v>
      </c>
      <c r="C1469">
        <f t="shared" si="67"/>
        <v>184638301629977.62</v>
      </c>
      <c r="D1469">
        <f t="shared" si="68"/>
        <v>184.63830162997763</v>
      </c>
      <c r="H1469" s="9">
        <v>10866</v>
      </c>
    </row>
    <row r="1470" spans="1:8">
      <c r="A1470">
        <f t="shared" si="66"/>
        <v>1.6240020910455199E-6</v>
      </c>
      <c r="B1470" s="9">
        <v>1.62400209104552</v>
      </c>
      <c r="C1470">
        <f t="shared" si="67"/>
        <v>184601023393384.87</v>
      </c>
      <c r="D1470">
        <f t="shared" si="68"/>
        <v>184.60102339338488</v>
      </c>
      <c r="H1470" s="9">
        <v>10866</v>
      </c>
    </row>
    <row r="1471" spans="1:8">
      <c r="A1471">
        <f t="shared" si="66"/>
        <v>1.62432997498749E-6</v>
      </c>
      <c r="B1471" s="9">
        <v>1.62432997498749</v>
      </c>
      <c r="C1471">
        <f t="shared" si="67"/>
        <v>184563760206610.06</v>
      </c>
      <c r="D1471">
        <f t="shared" si="68"/>
        <v>184.56376020661006</v>
      </c>
      <c r="H1471" s="9">
        <v>10866</v>
      </c>
    </row>
    <row r="1472" spans="1:8">
      <c r="A1472">
        <f t="shared" si="66"/>
        <v>1.6246578589294599E-6</v>
      </c>
      <c r="B1472" s="9">
        <v>1.62465785892946</v>
      </c>
      <c r="C1472">
        <f t="shared" si="67"/>
        <v>184526512060541.16</v>
      </c>
      <c r="D1472">
        <f t="shared" si="68"/>
        <v>184.52651206054117</v>
      </c>
      <c r="H1472" s="9">
        <v>10866</v>
      </c>
    </row>
    <row r="1473" spans="1:8">
      <c r="A1473">
        <f t="shared" si="66"/>
        <v>1.62498574287144E-6</v>
      </c>
      <c r="B1473" s="9">
        <v>1.62498574287144</v>
      </c>
      <c r="C1473">
        <f t="shared" si="67"/>
        <v>184489278946072.53</v>
      </c>
      <c r="D1473">
        <f t="shared" si="68"/>
        <v>184.48927894607255</v>
      </c>
      <c r="H1473" s="9">
        <v>10866</v>
      </c>
    </row>
    <row r="1474" spans="1:8">
      <c r="A1474">
        <f t="shared" si="66"/>
        <v>1.62531362681341E-6</v>
      </c>
      <c r="B1474" s="9">
        <v>1.6253136268134101</v>
      </c>
      <c r="C1474">
        <f t="shared" si="67"/>
        <v>184452060854109.19</v>
      </c>
      <c r="D1474">
        <f t="shared" si="68"/>
        <v>184.45206085410919</v>
      </c>
      <c r="H1474" s="9">
        <v>10866</v>
      </c>
    </row>
    <row r="1475" spans="1:8">
      <c r="A1475">
        <f t="shared" si="66"/>
        <v>1.6256415107553801E-6</v>
      </c>
      <c r="B1475" s="9">
        <v>1.6256415107553801</v>
      </c>
      <c r="C1475">
        <f t="shared" si="67"/>
        <v>184414857775560.06</v>
      </c>
      <c r="D1475">
        <f t="shared" si="68"/>
        <v>184.41485777556005</v>
      </c>
      <c r="H1475" s="9">
        <v>10866</v>
      </c>
    </row>
    <row r="1476" spans="1:8">
      <c r="A1476">
        <f t="shared" si="66"/>
        <v>1.6259693946973499E-6</v>
      </c>
      <c r="B1476" s="9">
        <v>1.6259693946973499</v>
      </c>
      <c r="C1476">
        <f t="shared" si="67"/>
        <v>184377669701342.62</v>
      </c>
      <c r="D1476">
        <f t="shared" si="68"/>
        <v>184.37766970134263</v>
      </c>
      <c r="H1476" s="9">
        <v>10866</v>
      </c>
    </row>
    <row r="1477" spans="1:8">
      <c r="A1477">
        <f t="shared" si="66"/>
        <v>1.62629727863932E-6</v>
      </c>
      <c r="B1477" s="9">
        <v>1.6262972786393199</v>
      </c>
      <c r="C1477">
        <f t="shared" si="67"/>
        <v>184340496622381.62</v>
      </c>
      <c r="D1477">
        <f t="shared" si="68"/>
        <v>184.34049662238164</v>
      </c>
      <c r="H1477" s="9">
        <v>10866</v>
      </c>
    </row>
    <row r="1478" spans="1:8">
      <c r="A1478">
        <f t="shared" si="66"/>
        <v>1.6266251625812899E-6</v>
      </c>
      <c r="B1478" s="9">
        <v>1.62662516258129</v>
      </c>
      <c r="C1478">
        <f t="shared" si="67"/>
        <v>184303338529609.16</v>
      </c>
      <c r="D1478">
        <f t="shared" si="68"/>
        <v>184.30333852960916</v>
      </c>
      <c r="H1478" s="9">
        <v>10866</v>
      </c>
    </row>
    <row r="1479" spans="1:8">
      <c r="A1479">
        <f t="shared" ref="A1479:A1542" si="69">B1479/1000000</f>
        <v>1.6269530465232601E-6</v>
      </c>
      <c r="B1479" s="9">
        <v>1.62695304652326</v>
      </c>
      <c r="C1479">
        <f t="shared" ref="C1479:C1542" si="70">wavelength_to_freq(B1479)</f>
        <v>184266195413964.56</v>
      </c>
      <c r="D1479">
        <f t="shared" ref="D1479:D1542" si="71">C1479/1000000000000</f>
        <v>184.26619541396457</v>
      </c>
      <c r="H1479" s="9">
        <v>10866</v>
      </c>
    </row>
    <row r="1480" spans="1:8">
      <c r="A1480">
        <f t="shared" si="69"/>
        <v>1.62728093046523E-6</v>
      </c>
      <c r="B1480" s="9">
        <v>1.62728093046523</v>
      </c>
      <c r="C1480">
        <f t="shared" si="70"/>
        <v>184229067266394.56</v>
      </c>
      <c r="D1480">
        <f t="shared" si="71"/>
        <v>184.22906726639457</v>
      </c>
      <c r="H1480" s="9">
        <v>10866</v>
      </c>
    </row>
    <row r="1481" spans="1:8">
      <c r="A1481">
        <f t="shared" si="69"/>
        <v>1.6276088144072002E-6</v>
      </c>
      <c r="B1481" s="9">
        <v>1.6276088144072001</v>
      </c>
      <c r="C1481">
        <f t="shared" si="70"/>
        <v>184191954077853.16</v>
      </c>
      <c r="D1481">
        <f t="shared" si="71"/>
        <v>184.19195407785315</v>
      </c>
      <c r="H1481" s="9">
        <v>10866</v>
      </c>
    </row>
    <row r="1482" spans="1:8">
      <c r="A1482">
        <f t="shared" si="69"/>
        <v>1.6279366983491701E-6</v>
      </c>
      <c r="B1482" s="9">
        <v>1.6279366983491701</v>
      </c>
      <c r="C1482">
        <f t="shared" si="70"/>
        <v>184154855839301.59</v>
      </c>
      <c r="D1482">
        <f t="shared" si="71"/>
        <v>184.1548558393016</v>
      </c>
      <c r="H1482" s="9">
        <v>10866</v>
      </c>
    </row>
    <row r="1483" spans="1:8">
      <c r="A1483">
        <f t="shared" si="69"/>
        <v>1.62826458229115E-6</v>
      </c>
      <c r="B1483" s="9">
        <v>1.6282645822911499</v>
      </c>
      <c r="C1483">
        <f t="shared" si="70"/>
        <v>184117772541707.31</v>
      </c>
      <c r="D1483">
        <f t="shared" si="71"/>
        <v>184.11777254170732</v>
      </c>
      <c r="H1483" s="9">
        <v>10866</v>
      </c>
    </row>
    <row r="1484" spans="1:8">
      <c r="A1484">
        <f t="shared" si="69"/>
        <v>1.6285924662331199E-6</v>
      </c>
      <c r="B1484" s="9">
        <v>1.6285924662331199</v>
      </c>
      <c r="C1484">
        <f t="shared" si="70"/>
        <v>184080704176048.37</v>
      </c>
      <c r="D1484">
        <f t="shared" si="71"/>
        <v>184.08070417604839</v>
      </c>
      <c r="H1484" s="9">
        <v>10866</v>
      </c>
    </row>
    <row r="1485" spans="1:8">
      <c r="A1485">
        <f t="shared" si="69"/>
        <v>1.6289203501750899E-6</v>
      </c>
      <c r="B1485" s="9">
        <v>1.62892035017509</v>
      </c>
      <c r="C1485">
        <f t="shared" si="70"/>
        <v>184043650733306.75</v>
      </c>
      <c r="D1485">
        <f t="shared" si="71"/>
        <v>184.04365073330675</v>
      </c>
      <c r="H1485" s="9">
        <v>10866</v>
      </c>
    </row>
    <row r="1486" spans="1:8">
      <c r="A1486">
        <f t="shared" si="69"/>
        <v>1.62924823411706E-6</v>
      </c>
      <c r="B1486" s="9">
        <v>1.62924823411706</v>
      </c>
      <c r="C1486">
        <f t="shared" si="70"/>
        <v>184006612204472.81</v>
      </c>
      <c r="D1486">
        <f t="shared" si="71"/>
        <v>184.00661220447282</v>
      </c>
      <c r="H1486" s="9">
        <v>10866</v>
      </c>
    </row>
    <row r="1487" spans="1:8">
      <c r="A1487">
        <f t="shared" si="69"/>
        <v>1.6295761180590299E-6</v>
      </c>
      <c r="B1487" s="9">
        <v>1.62957611805903</v>
      </c>
      <c r="C1487">
        <f t="shared" si="70"/>
        <v>183969588580544.16</v>
      </c>
      <c r="D1487">
        <f t="shared" si="71"/>
        <v>183.96958858054415</v>
      </c>
      <c r="H1487" s="9">
        <v>10866</v>
      </c>
    </row>
    <row r="1488" spans="1:8">
      <c r="A1488">
        <f t="shared" si="69"/>
        <v>1.6299040020010001E-6</v>
      </c>
      <c r="B1488" s="9">
        <v>1.6299040020010001</v>
      </c>
      <c r="C1488">
        <f t="shared" si="70"/>
        <v>183932579852525.59</v>
      </c>
      <c r="D1488">
        <f t="shared" si="71"/>
        <v>183.93257985252561</v>
      </c>
      <c r="H1488" s="9">
        <v>10866</v>
      </c>
    </row>
    <row r="1489" spans="1:8">
      <c r="A1489">
        <f t="shared" si="69"/>
        <v>1.63023188594297E-6</v>
      </c>
      <c r="B1489" s="9">
        <v>1.6302318859429701</v>
      </c>
      <c r="C1489">
        <f t="shared" si="70"/>
        <v>183895586011429.28</v>
      </c>
      <c r="D1489">
        <f t="shared" si="71"/>
        <v>183.89558601142929</v>
      </c>
      <c r="H1489" s="9">
        <v>10866</v>
      </c>
    </row>
    <row r="1490" spans="1:8">
      <c r="A1490">
        <f t="shared" si="69"/>
        <v>1.63055976988494E-6</v>
      </c>
      <c r="B1490" s="9">
        <v>1.6305597698849399</v>
      </c>
      <c r="C1490">
        <f t="shared" si="70"/>
        <v>183858607048274.47</v>
      </c>
      <c r="D1490">
        <f t="shared" si="71"/>
        <v>183.85860704827448</v>
      </c>
      <c r="H1490" s="9">
        <v>10866</v>
      </c>
    </row>
    <row r="1491" spans="1:8">
      <c r="A1491">
        <f t="shared" si="69"/>
        <v>1.6308876538269099E-6</v>
      </c>
      <c r="B1491" s="9">
        <v>1.6308876538269099</v>
      </c>
      <c r="C1491">
        <f t="shared" si="70"/>
        <v>183821642954087.69</v>
      </c>
      <c r="D1491">
        <f t="shared" si="71"/>
        <v>183.82164295408768</v>
      </c>
      <c r="H1491" s="9">
        <v>10866</v>
      </c>
    </row>
    <row r="1492" spans="1:8">
      <c r="A1492">
        <f t="shared" si="69"/>
        <v>1.6312155377688801E-6</v>
      </c>
      <c r="B1492" s="9">
        <v>1.63121553776888</v>
      </c>
      <c r="C1492">
        <f t="shared" si="70"/>
        <v>183784693719902.72</v>
      </c>
      <c r="D1492">
        <f t="shared" si="71"/>
        <v>183.78469371990272</v>
      </c>
      <c r="H1492" s="9">
        <v>10866</v>
      </c>
    </row>
    <row r="1493" spans="1:8">
      <c r="A1493">
        <f t="shared" si="69"/>
        <v>1.6315434217108599E-6</v>
      </c>
      <c r="B1493" s="9">
        <v>1.63154342171086</v>
      </c>
      <c r="C1493">
        <f t="shared" si="70"/>
        <v>183747759336759.37</v>
      </c>
      <c r="D1493">
        <f t="shared" si="71"/>
        <v>183.74775933675937</v>
      </c>
      <c r="H1493" s="9">
        <v>10866</v>
      </c>
    </row>
    <row r="1494" spans="1:8">
      <c r="A1494">
        <f t="shared" si="69"/>
        <v>1.6318713056528301E-6</v>
      </c>
      <c r="B1494" s="9">
        <v>1.63187130565283</v>
      </c>
      <c r="C1494">
        <f t="shared" si="70"/>
        <v>183710839795708.06</v>
      </c>
      <c r="D1494">
        <f t="shared" si="71"/>
        <v>183.71083979570807</v>
      </c>
      <c r="H1494" s="9">
        <v>10866</v>
      </c>
    </row>
    <row r="1495" spans="1:8">
      <c r="A1495">
        <f t="shared" si="69"/>
        <v>1.6321991895948E-6</v>
      </c>
      <c r="B1495" s="9">
        <v>1.6321991895948</v>
      </c>
      <c r="C1495">
        <f t="shared" si="70"/>
        <v>183673935087803.03</v>
      </c>
      <c r="D1495">
        <f t="shared" si="71"/>
        <v>183.67393508780305</v>
      </c>
      <c r="H1495" s="9">
        <v>10866</v>
      </c>
    </row>
    <row r="1496" spans="1:8">
      <c r="A1496">
        <f t="shared" si="69"/>
        <v>1.6325270735367702E-6</v>
      </c>
      <c r="B1496" s="9">
        <v>1.6325270735367701</v>
      </c>
      <c r="C1496">
        <f t="shared" si="70"/>
        <v>183637045204106.78</v>
      </c>
      <c r="D1496">
        <f t="shared" si="71"/>
        <v>183.63704520410678</v>
      </c>
      <c r="H1496" s="9">
        <v>10866</v>
      </c>
    </row>
    <row r="1497" spans="1:8">
      <c r="A1497">
        <f t="shared" si="69"/>
        <v>1.6328549574787401E-6</v>
      </c>
      <c r="B1497" s="9">
        <v>1.6328549574787401</v>
      </c>
      <c r="C1497">
        <f t="shared" si="70"/>
        <v>183600170135689.06</v>
      </c>
      <c r="D1497">
        <f t="shared" si="71"/>
        <v>183.60017013568907</v>
      </c>
      <c r="H1497" s="9">
        <v>10866</v>
      </c>
    </row>
    <row r="1498" spans="1:8">
      <c r="A1498">
        <f t="shared" si="69"/>
        <v>1.6331828414207098E-6</v>
      </c>
      <c r="B1498" s="9">
        <v>1.6331828414207099</v>
      </c>
      <c r="C1498">
        <f t="shared" si="70"/>
        <v>183563309873626.75</v>
      </c>
      <c r="D1498">
        <f t="shared" si="71"/>
        <v>183.56330987362676</v>
      </c>
      <c r="H1498" s="9">
        <v>10866</v>
      </c>
    </row>
    <row r="1499" spans="1:8">
      <c r="A1499">
        <f t="shared" si="69"/>
        <v>1.63351072536268E-6</v>
      </c>
      <c r="B1499" s="9">
        <v>1.6335107253626799</v>
      </c>
      <c r="C1499">
        <f t="shared" si="70"/>
        <v>183526464409003.87</v>
      </c>
      <c r="D1499">
        <f t="shared" si="71"/>
        <v>183.52646440900386</v>
      </c>
      <c r="H1499" s="9">
        <v>10866</v>
      </c>
    </row>
    <row r="1500" spans="1:8">
      <c r="A1500">
        <f t="shared" si="69"/>
        <v>1.6338386093046499E-6</v>
      </c>
      <c r="B1500" s="9">
        <v>1.63383860930465</v>
      </c>
      <c r="C1500">
        <f t="shared" si="70"/>
        <v>183489633732911.69</v>
      </c>
      <c r="D1500">
        <f t="shared" si="71"/>
        <v>183.4896337329117</v>
      </c>
      <c r="H1500" s="9">
        <v>10866</v>
      </c>
    </row>
    <row r="1501" spans="1:8">
      <c r="A1501">
        <f t="shared" si="69"/>
        <v>1.6341664932466201E-6</v>
      </c>
      <c r="B1501" s="9">
        <v>1.63416649324662</v>
      </c>
      <c r="C1501">
        <f t="shared" si="70"/>
        <v>183452817836448.47</v>
      </c>
      <c r="D1501">
        <f t="shared" si="71"/>
        <v>183.45281783644847</v>
      </c>
      <c r="H1501" s="9">
        <v>10866</v>
      </c>
    </row>
    <row r="1502" spans="1:8">
      <c r="A1502">
        <f t="shared" si="69"/>
        <v>1.63449437718859E-6</v>
      </c>
      <c r="B1502" s="9">
        <v>1.63449437718859</v>
      </c>
      <c r="C1502">
        <f t="shared" si="70"/>
        <v>183416016710719.81</v>
      </c>
      <c r="D1502">
        <f t="shared" si="71"/>
        <v>183.41601671071982</v>
      </c>
      <c r="H1502" s="9">
        <v>10866</v>
      </c>
    </row>
    <row r="1503" spans="1:8">
      <c r="A1503">
        <f t="shared" si="69"/>
        <v>1.6348222611305701E-6</v>
      </c>
      <c r="B1503" s="9">
        <v>1.6348222611305701</v>
      </c>
      <c r="C1503">
        <f t="shared" si="70"/>
        <v>183379230346837.19</v>
      </c>
      <c r="D1503">
        <f t="shared" si="71"/>
        <v>183.37923034683718</v>
      </c>
      <c r="H1503" s="9">
        <v>10866</v>
      </c>
    </row>
    <row r="1504" spans="1:8">
      <c r="A1504">
        <f t="shared" si="69"/>
        <v>1.63515014507254E-6</v>
      </c>
      <c r="B1504" s="9">
        <v>1.6351501450725401</v>
      </c>
      <c r="C1504">
        <f t="shared" si="70"/>
        <v>183342458735922.59</v>
      </c>
      <c r="D1504">
        <f t="shared" si="71"/>
        <v>183.34245873592261</v>
      </c>
      <c r="H1504" s="9">
        <v>10866</v>
      </c>
    </row>
    <row r="1505" spans="1:8">
      <c r="A1505">
        <f t="shared" si="69"/>
        <v>1.63547802901451E-6</v>
      </c>
      <c r="B1505" s="9">
        <v>1.6354780290145099</v>
      </c>
      <c r="C1505">
        <f t="shared" si="70"/>
        <v>183305701869101.81</v>
      </c>
      <c r="D1505">
        <f t="shared" si="71"/>
        <v>183.30570186910182</v>
      </c>
      <c r="H1505" s="9">
        <v>10866</v>
      </c>
    </row>
    <row r="1506" spans="1:8">
      <c r="A1506">
        <f t="shared" si="69"/>
        <v>1.6358059129564799E-6</v>
      </c>
      <c r="B1506" s="9">
        <v>1.6358059129564799</v>
      </c>
      <c r="C1506">
        <f t="shared" si="70"/>
        <v>183268959737508.84</v>
      </c>
      <c r="D1506">
        <f t="shared" si="71"/>
        <v>183.26895973750885</v>
      </c>
      <c r="H1506" s="9">
        <v>10866</v>
      </c>
    </row>
    <row r="1507" spans="1:8">
      <c r="A1507">
        <f t="shared" si="69"/>
        <v>1.6361337968984501E-6</v>
      </c>
      <c r="B1507" s="9">
        <v>1.63613379689845</v>
      </c>
      <c r="C1507">
        <f t="shared" si="70"/>
        <v>183232232332284.78</v>
      </c>
      <c r="D1507">
        <f t="shared" si="71"/>
        <v>183.23223233228478</v>
      </c>
      <c r="H1507" s="9">
        <v>10866</v>
      </c>
    </row>
    <row r="1508" spans="1:8">
      <c r="A1508">
        <f t="shared" si="69"/>
        <v>1.63646168084042E-6</v>
      </c>
      <c r="B1508" s="9">
        <v>1.63646168084042</v>
      </c>
      <c r="C1508">
        <f t="shared" si="70"/>
        <v>183195519644577.81</v>
      </c>
      <c r="D1508">
        <f t="shared" si="71"/>
        <v>183.19551964457781</v>
      </c>
      <c r="H1508" s="9">
        <v>10866</v>
      </c>
    </row>
    <row r="1509" spans="1:8">
      <c r="A1509">
        <f t="shared" si="69"/>
        <v>1.6367895647823899E-6</v>
      </c>
      <c r="B1509" s="9">
        <v>1.63678956478239</v>
      </c>
      <c r="C1509">
        <f t="shared" si="70"/>
        <v>183158821665543.28</v>
      </c>
      <c r="D1509">
        <f t="shared" si="71"/>
        <v>183.15882166554329</v>
      </c>
      <c r="H1509" s="9">
        <v>10866</v>
      </c>
    </row>
    <row r="1510" spans="1:8">
      <c r="A1510">
        <f t="shared" si="69"/>
        <v>1.6371174487243601E-6</v>
      </c>
      <c r="B1510" s="9">
        <v>1.63711744872436</v>
      </c>
      <c r="C1510">
        <f t="shared" si="70"/>
        <v>183122138386343.59</v>
      </c>
      <c r="D1510">
        <f t="shared" si="71"/>
        <v>183.12213838634361</v>
      </c>
      <c r="H1510" s="9">
        <v>10866</v>
      </c>
    </row>
    <row r="1511" spans="1:8">
      <c r="A1511">
        <f t="shared" si="69"/>
        <v>1.63744533266633E-6</v>
      </c>
      <c r="B1511" s="9">
        <v>1.6374453326663301</v>
      </c>
      <c r="C1511">
        <f t="shared" si="70"/>
        <v>183085469798148.12</v>
      </c>
      <c r="D1511">
        <f t="shared" si="71"/>
        <v>183.08546979814813</v>
      </c>
      <c r="H1511" s="9">
        <v>10866</v>
      </c>
    </row>
    <row r="1512" spans="1:8">
      <c r="A1512">
        <f t="shared" si="69"/>
        <v>1.6377732166083002E-6</v>
      </c>
      <c r="B1512" s="9">
        <v>1.6377732166083001</v>
      </c>
      <c r="C1512">
        <f t="shared" si="70"/>
        <v>183048815892133.5</v>
      </c>
      <c r="D1512">
        <f t="shared" si="71"/>
        <v>183.04881589213349</v>
      </c>
      <c r="H1512" s="9">
        <v>10866</v>
      </c>
    </row>
    <row r="1513" spans="1:8">
      <c r="A1513">
        <f t="shared" si="69"/>
        <v>1.6381011005502798E-6</v>
      </c>
      <c r="B1513" s="9">
        <v>1.6381011005502799</v>
      </c>
      <c r="C1513">
        <f t="shared" si="70"/>
        <v>183012176659482.19</v>
      </c>
      <c r="D1513">
        <f t="shared" si="71"/>
        <v>183.01217665948218</v>
      </c>
      <c r="H1513" s="9">
        <v>10866</v>
      </c>
    </row>
    <row r="1514" spans="1:8">
      <c r="A1514">
        <f t="shared" si="69"/>
        <v>1.63842898449225E-6</v>
      </c>
      <c r="B1514" s="9">
        <v>1.6384289844922499</v>
      </c>
      <c r="C1514">
        <f t="shared" si="70"/>
        <v>182975552091387</v>
      </c>
      <c r="D1514">
        <f t="shared" si="71"/>
        <v>182.97555209138699</v>
      </c>
      <c r="H1514" s="9">
        <v>10866</v>
      </c>
    </row>
    <row r="1515" spans="1:8">
      <c r="A1515">
        <f t="shared" si="69"/>
        <v>1.6387568684342199E-6</v>
      </c>
      <c r="B1515" s="9">
        <v>1.63875686843422</v>
      </c>
      <c r="C1515">
        <f t="shared" si="70"/>
        <v>182938942179044.62</v>
      </c>
      <c r="D1515">
        <f t="shared" si="71"/>
        <v>182.93894217904463</v>
      </c>
      <c r="H1515" s="9">
        <v>10866</v>
      </c>
    </row>
    <row r="1516" spans="1:8">
      <c r="A1516">
        <f t="shared" si="69"/>
        <v>1.6390847523761901E-6</v>
      </c>
      <c r="B1516" s="9">
        <v>1.63908475237619</v>
      </c>
      <c r="C1516">
        <f t="shared" si="70"/>
        <v>182902346913659.75</v>
      </c>
      <c r="D1516">
        <f t="shared" si="71"/>
        <v>182.90234691365976</v>
      </c>
      <c r="H1516" s="9">
        <v>10866</v>
      </c>
    </row>
    <row r="1517" spans="1:8">
      <c r="A1517">
        <f t="shared" si="69"/>
        <v>1.63941263631816E-6</v>
      </c>
      <c r="B1517" s="9">
        <v>1.63941263631816</v>
      </c>
      <c r="C1517">
        <f t="shared" si="70"/>
        <v>182865766286444.19</v>
      </c>
      <c r="D1517">
        <f t="shared" si="71"/>
        <v>182.8657662864442</v>
      </c>
      <c r="H1517" s="9">
        <v>10866</v>
      </c>
    </row>
    <row r="1518" spans="1:8">
      <c r="A1518">
        <f t="shared" si="69"/>
        <v>1.6397405202601301E-6</v>
      </c>
      <c r="B1518" s="9">
        <v>1.6397405202601301</v>
      </c>
      <c r="C1518">
        <f t="shared" si="70"/>
        <v>182829200288616.78</v>
      </c>
      <c r="D1518">
        <f t="shared" si="71"/>
        <v>182.82920028861679</v>
      </c>
      <c r="H1518" s="9">
        <v>10866</v>
      </c>
    </row>
    <row r="1519" spans="1:8">
      <c r="A1519">
        <f t="shared" si="69"/>
        <v>1.6400684042021001E-6</v>
      </c>
      <c r="B1519" s="9">
        <v>1.6400684042021001</v>
      </c>
      <c r="C1519">
        <f t="shared" si="70"/>
        <v>182792648911403.31</v>
      </c>
      <c r="D1519">
        <f t="shared" si="71"/>
        <v>182.79264891140332</v>
      </c>
      <c r="H1519" s="9">
        <v>10866</v>
      </c>
    </row>
    <row r="1520" spans="1:8">
      <c r="A1520">
        <f t="shared" si="69"/>
        <v>1.6403962881440698E-6</v>
      </c>
      <c r="B1520" s="9">
        <v>1.6403962881440699</v>
      </c>
      <c r="C1520">
        <f t="shared" si="70"/>
        <v>182756112146036.72</v>
      </c>
      <c r="D1520">
        <f t="shared" si="71"/>
        <v>182.75611214603671</v>
      </c>
      <c r="H1520" s="9">
        <v>10866</v>
      </c>
    </row>
    <row r="1521" spans="1:8">
      <c r="A1521">
        <f t="shared" si="69"/>
        <v>1.6407241720860399E-6</v>
      </c>
      <c r="B1521" s="9">
        <v>1.6407241720860399</v>
      </c>
      <c r="C1521">
        <f t="shared" si="70"/>
        <v>182719589983756.78</v>
      </c>
      <c r="D1521">
        <f t="shared" si="71"/>
        <v>182.71958998375678</v>
      </c>
      <c r="H1521" s="9">
        <v>10866</v>
      </c>
    </row>
    <row r="1522" spans="1:8">
      <c r="A1522">
        <f t="shared" si="69"/>
        <v>1.6410520560280099E-6</v>
      </c>
      <c r="B1522" s="9">
        <v>1.64105205602801</v>
      </c>
      <c r="C1522">
        <f t="shared" si="70"/>
        <v>182683082415810.37</v>
      </c>
      <c r="D1522">
        <f t="shared" si="71"/>
        <v>182.68308241581036</v>
      </c>
      <c r="H1522" s="9">
        <v>10866</v>
      </c>
    </row>
    <row r="1523" spans="1:8">
      <c r="A1523">
        <f t="shared" si="69"/>
        <v>1.64137993996999E-6</v>
      </c>
      <c r="B1523" s="9">
        <v>1.64137993996999</v>
      </c>
      <c r="C1523">
        <f t="shared" si="70"/>
        <v>182646589433450.25</v>
      </c>
      <c r="D1523">
        <f t="shared" si="71"/>
        <v>182.64658943345026</v>
      </c>
      <c r="H1523" s="9">
        <v>10866</v>
      </c>
    </row>
    <row r="1524" spans="1:8">
      <c r="A1524">
        <f t="shared" si="69"/>
        <v>1.6417078239119599E-6</v>
      </c>
      <c r="B1524" s="9">
        <v>1.64170782391196</v>
      </c>
      <c r="C1524">
        <f t="shared" si="70"/>
        <v>182610111027939.53</v>
      </c>
      <c r="D1524">
        <f t="shared" si="71"/>
        <v>182.61011102793952</v>
      </c>
      <c r="H1524" s="9">
        <v>10866</v>
      </c>
    </row>
    <row r="1525" spans="1:8">
      <c r="A1525">
        <f t="shared" si="69"/>
        <v>1.6420357078539301E-6</v>
      </c>
      <c r="B1525" s="9">
        <v>1.64203570785393</v>
      </c>
      <c r="C1525">
        <f t="shared" si="70"/>
        <v>182573647190544.84</v>
      </c>
      <c r="D1525">
        <f t="shared" si="71"/>
        <v>182.57364719054485</v>
      </c>
      <c r="H1525" s="9">
        <v>10866</v>
      </c>
    </row>
    <row r="1526" spans="1:8">
      <c r="A1526">
        <f t="shared" si="69"/>
        <v>1.6423635917959E-6</v>
      </c>
      <c r="B1526" s="9">
        <v>1.6423635917959001</v>
      </c>
      <c r="C1526">
        <f t="shared" si="70"/>
        <v>182537197912541.06</v>
      </c>
      <c r="D1526">
        <f t="shared" si="71"/>
        <v>182.53719791254107</v>
      </c>
      <c r="H1526" s="9">
        <v>10866</v>
      </c>
    </row>
    <row r="1527" spans="1:8">
      <c r="A1527">
        <f t="shared" si="69"/>
        <v>1.6426914757378702E-6</v>
      </c>
      <c r="B1527" s="9">
        <v>1.6426914757378701</v>
      </c>
      <c r="C1527">
        <f t="shared" si="70"/>
        <v>182500763185209.91</v>
      </c>
      <c r="D1527">
        <f t="shared" si="71"/>
        <v>182.50076318520991</v>
      </c>
      <c r="H1527" s="9">
        <v>10866</v>
      </c>
    </row>
    <row r="1528" spans="1:8">
      <c r="A1528">
        <f t="shared" si="69"/>
        <v>1.6430193596798399E-6</v>
      </c>
      <c r="B1528" s="9">
        <v>1.6430193596798399</v>
      </c>
      <c r="C1528">
        <f t="shared" si="70"/>
        <v>182464342999840.12</v>
      </c>
      <c r="D1528">
        <f t="shared" si="71"/>
        <v>182.46434299984011</v>
      </c>
      <c r="H1528" s="9">
        <v>10866</v>
      </c>
    </row>
    <row r="1529" spans="1:8">
      <c r="A1529">
        <f t="shared" si="69"/>
        <v>1.64334724362181E-6</v>
      </c>
      <c r="B1529" s="9">
        <v>1.6433472436218099</v>
      </c>
      <c r="C1529">
        <f t="shared" si="70"/>
        <v>182427937347727.37</v>
      </c>
      <c r="D1529">
        <f t="shared" si="71"/>
        <v>182.42793734772738</v>
      </c>
      <c r="H1529" s="9">
        <v>10866</v>
      </c>
    </row>
    <row r="1530" spans="1:8">
      <c r="A1530">
        <f t="shared" si="69"/>
        <v>1.64367512756378E-6</v>
      </c>
      <c r="B1530" s="9">
        <v>1.64367512756378</v>
      </c>
      <c r="C1530">
        <f t="shared" si="70"/>
        <v>182391546220174.25</v>
      </c>
      <c r="D1530">
        <f t="shared" si="71"/>
        <v>182.39154622017426</v>
      </c>
      <c r="H1530" s="9">
        <v>10866</v>
      </c>
    </row>
    <row r="1531" spans="1:8">
      <c r="A1531">
        <f t="shared" si="69"/>
        <v>1.6440030115057501E-6</v>
      </c>
      <c r="B1531" s="9">
        <v>1.64400301150575</v>
      </c>
      <c r="C1531">
        <f t="shared" si="70"/>
        <v>182355169608490.37</v>
      </c>
      <c r="D1531">
        <f t="shared" si="71"/>
        <v>182.35516960849037</v>
      </c>
      <c r="H1531" s="9">
        <v>10844</v>
      </c>
    </row>
    <row r="1532" spans="1:8">
      <c r="A1532">
        <f t="shared" si="69"/>
        <v>1.64433089544772E-6</v>
      </c>
      <c r="B1532" s="9">
        <v>1.64433089544772</v>
      </c>
      <c r="C1532">
        <f t="shared" si="70"/>
        <v>182318807503992.22</v>
      </c>
      <c r="D1532">
        <f t="shared" si="71"/>
        <v>182.31880750399222</v>
      </c>
      <c r="H1532" s="9">
        <v>10844</v>
      </c>
    </row>
    <row r="1533" spans="1:8">
      <c r="A1533">
        <f t="shared" si="69"/>
        <v>1.64465877938969E-6</v>
      </c>
      <c r="B1533" s="9">
        <v>1.6446587793896901</v>
      </c>
      <c r="C1533">
        <f t="shared" si="70"/>
        <v>182282459898003.16</v>
      </c>
      <c r="D1533">
        <f t="shared" si="71"/>
        <v>182.28245989800317</v>
      </c>
      <c r="H1533" s="9">
        <v>10844</v>
      </c>
    </row>
    <row r="1534" spans="1:8">
      <c r="A1534">
        <f t="shared" si="69"/>
        <v>1.6449866633316701E-6</v>
      </c>
      <c r="B1534" s="9">
        <v>1.6449866633316701</v>
      </c>
      <c r="C1534">
        <f t="shared" si="70"/>
        <v>182246126781852.47</v>
      </c>
      <c r="D1534">
        <f t="shared" si="71"/>
        <v>182.24612678185247</v>
      </c>
      <c r="H1534" s="9">
        <v>10844</v>
      </c>
    </row>
    <row r="1535" spans="1:8">
      <c r="A1535">
        <f t="shared" si="69"/>
        <v>1.6453145472736398E-6</v>
      </c>
      <c r="B1535" s="9">
        <v>1.6453145472736399</v>
      </c>
      <c r="C1535">
        <f t="shared" si="70"/>
        <v>182209808146879.59</v>
      </c>
      <c r="D1535">
        <f t="shared" si="71"/>
        <v>182.2098081468796</v>
      </c>
      <c r="H1535" s="9">
        <v>10827</v>
      </c>
    </row>
    <row r="1536" spans="1:8">
      <c r="A1536">
        <f t="shared" si="69"/>
        <v>1.6456424312156099E-6</v>
      </c>
      <c r="B1536" s="9">
        <v>1.6456424312156099</v>
      </c>
      <c r="C1536">
        <f t="shared" si="70"/>
        <v>182173503984427.56</v>
      </c>
      <c r="D1536">
        <f t="shared" si="71"/>
        <v>182.17350398442755</v>
      </c>
      <c r="H1536" s="9">
        <v>10827</v>
      </c>
    </row>
    <row r="1537" spans="1:8">
      <c r="A1537">
        <f t="shared" si="69"/>
        <v>1.6459703151575799E-6</v>
      </c>
      <c r="B1537" s="9">
        <v>1.64597031515758</v>
      </c>
      <c r="C1537">
        <f t="shared" si="70"/>
        <v>182137214285847.44</v>
      </c>
      <c r="D1537">
        <f t="shared" si="71"/>
        <v>182.13721428584745</v>
      </c>
      <c r="H1537" s="9">
        <v>10827</v>
      </c>
    </row>
    <row r="1538" spans="1:8">
      <c r="A1538">
        <f t="shared" si="69"/>
        <v>1.64629819909955E-6</v>
      </c>
      <c r="B1538" s="9">
        <v>1.64629819909955</v>
      </c>
      <c r="C1538">
        <f t="shared" si="70"/>
        <v>182100939042497.16</v>
      </c>
      <c r="D1538">
        <f t="shared" si="71"/>
        <v>182.10093904249715</v>
      </c>
      <c r="H1538" s="9">
        <v>10827</v>
      </c>
    </row>
    <row r="1539" spans="1:8">
      <c r="A1539">
        <f t="shared" si="69"/>
        <v>1.64662608304152E-6</v>
      </c>
      <c r="B1539" s="9">
        <v>1.64662608304152</v>
      </c>
      <c r="C1539">
        <f t="shared" si="70"/>
        <v>182064678245741.53</v>
      </c>
      <c r="D1539">
        <f t="shared" si="71"/>
        <v>182.06467824574153</v>
      </c>
      <c r="H1539" s="9">
        <v>10827</v>
      </c>
    </row>
    <row r="1540" spans="1:8">
      <c r="A1540">
        <f t="shared" si="69"/>
        <v>1.6469539669834901E-6</v>
      </c>
      <c r="B1540" s="9">
        <v>1.6469539669834901</v>
      </c>
      <c r="C1540">
        <f t="shared" si="70"/>
        <v>182028431886952.25</v>
      </c>
      <c r="D1540">
        <f t="shared" si="71"/>
        <v>182.02843188695226</v>
      </c>
      <c r="H1540" s="9">
        <v>10827</v>
      </c>
    </row>
    <row r="1541" spans="1:8">
      <c r="A1541">
        <f t="shared" si="69"/>
        <v>1.6472818509254601E-6</v>
      </c>
      <c r="B1541" s="9">
        <v>1.6472818509254601</v>
      </c>
      <c r="C1541">
        <f t="shared" si="70"/>
        <v>181992199957507.87</v>
      </c>
      <c r="D1541">
        <f t="shared" si="71"/>
        <v>181.99219995750786</v>
      </c>
      <c r="H1541" s="9">
        <v>10827</v>
      </c>
    </row>
    <row r="1542" spans="1:8">
      <c r="A1542">
        <f t="shared" si="69"/>
        <v>1.64760973486743E-6</v>
      </c>
      <c r="B1542" s="9">
        <v>1.6476097348674299</v>
      </c>
      <c r="C1542">
        <f t="shared" si="70"/>
        <v>181955982448793.87</v>
      </c>
      <c r="D1542">
        <f t="shared" si="71"/>
        <v>181.95598244879386</v>
      </c>
      <c r="H1542" s="9">
        <v>10827</v>
      </c>
    </row>
    <row r="1543" spans="1:8">
      <c r="A1543">
        <f t="shared" ref="A1543:A1606" si="72">B1543/1000000</f>
        <v>1.6479376188093999E-6</v>
      </c>
      <c r="B1543" s="9">
        <v>1.6479376188093999</v>
      </c>
      <c r="C1543">
        <f t="shared" ref="C1543:C1606" si="73">wavelength_to_freq(B1543)</f>
        <v>181919779352202.47</v>
      </c>
      <c r="D1543">
        <f t="shared" ref="D1543:D1606" si="74">C1543/1000000000000</f>
        <v>181.91977935220248</v>
      </c>
      <c r="H1543" s="9">
        <v>10827</v>
      </c>
    </row>
    <row r="1544" spans="1:8">
      <c r="A1544">
        <f t="shared" si="72"/>
        <v>1.64826550275138E-6</v>
      </c>
      <c r="B1544" s="9">
        <v>1.64826550275138</v>
      </c>
      <c r="C1544">
        <f t="shared" si="73"/>
        <v>181883590659131.75</v>
      </c>
      <c r="D1544">
        <f t="shared" si="74"/>
        <v>181.88359065913176</v>
      </c>
      <c r="H1544" s="9">
        <v>10827</v>
      </c>
    </row>
    <row r="1545" spans="1:8">
      <c r="A1545">
        <f t="shared" si="72"/>
        <v>1.64859338669335E-6</v>
      </c>
      <c r="B1545" s="9">
        <v>1.64859338669335</v>
      </c>
      <c r="C1545">
        <f t="shared" si="73"/>
        <v>181847416360989.87</v>
      </c>
      <c r="D1545">
        <f t="shared" si="74"/>
        <v>181.84741636098988</v>
      </c>
      <c r="H1545" s="9">
        <v>10827</v>
      </c>
    </row>
    <row r="1546" spans="1:8">
      <c r="A1546">
        <f t="shared" si="72"/>
        <v>1.6489212706353201E-6</v>
      </c>
      <c r="B1546" s="9">
        <v>1.64892127063532</v>
      </c>
      <c r="C1546">
        <f t="shared" si="73"/>
        <v>181811256449188.56</v>
      </c>
      <c r="D1546">
        <f t="shared" si="74"/>
        <v>181.81125644918856</v>
      </c>
      <c r="H1546" s="9">
        <v>10827</v>
      </c>
    </row>
    <row r="1547" spans="1:8">
      <c r="A1547">
        <f t="shared" si="72"/>
        <v>1.64924915457729E-6</v>
      </c>
      <c r="B1547" s="9">
        <v>1.64924915457729</v>
      </c>
      <c r="C1547">
        <f t="shared" si="73"/>
        <v>181775110915147.41</v>
      </c>
      <c r="D1547">
        <f t="shared" si="74"/>
        <v>181.77511091514739</v>
      </c>
      <c r="H1547" s="9">
        <v>10827</v>
      </c>
    </row>
    <row r="1548" spans="1:8">
      <c r="A1548">
        <f t="shared" si="72"/>
        <v>1.64957703851926E-6</v>
      </c>
      <c r="B1548" s="9">
        <v>1.6495770385192601</v>
      </c>
      <c r="C1548">
        <f t="shared" si="73"/>
        <v>181738979750292.94</v>
      </c>
      <c r="D1548">
        <f t="shared" si="74"/>
        <v>181.73897975029294</v>
      </c>
      <c r="H1548" s="9">
        <v>10827</v>
      </c>
    </row>
    <row r="1549" spans="1:8">
      <c r="A1549">
        <f t="shared" si="72"/>
        <v>1.6499049224612301E-6</v>
      </c>
      <c r="B1549" s="9">
        <v>1.6499049224612301</v>
      </c>
      <c r="C1549">
        <f t="shared" si="73"/>
        <v>181702862946058.41</v>
      </c>
      <c r="D1549">
        <f t="shared" si="74"/>
        <v>181.70286294605842</v>
      </c>
      <c r="H1549" s="9">
        <v>10827</v>
      </c>
    </row>
    <row r="1550" spans="1:8">
      <c r="A1550">
        <f t="shared" si="72"/>
        <v>1.6502328064031998E-6</v>
      </c>
      <c r="B1550" s="9">
        <v>1.6502328064031999</v>
      </c>
      <c r="C1550">
        <f t="shared" si="73"/>
        <v>181666760493883.91</v>
      </c>
      <c r="D1550">
        <f t="shared" si="74"/>
        <v>181.66676049388391</v>
      </c>
      <c r="H1550" s="9">
        <v>10827</v>
      </c>
    </row>
    <row r="1551" spans="1:8">
      <c r="A1551">
        <f t="shared" si="72"/>
        <v>1.65056069034517E-6</v>
      </c>
      <c r="B1551" s="9">
        <v>1.6505606903451699</v>
      </c>
      <c r="C1551">
        <f t="shared" si="73"/>
        <v>181630672385216.28</v>
      </c>
      <c r="D1551">
        <f t="shared" si="74"/>
        <v>181.63067238521629</v>
      </c>
      <c r="H1551" s="9">
        <v>10827</v>
      </c>
    </row>
    <row r="1552" spans="1:8">
      <c r="A1552">
        <f t="shared" si="72"/>
        <v>1.6508885742871399E-6</v>
      </c>
      <c r="B1552" s="9">
        <v>1.65088857428714</v>
      </c>
      <c r="C1552">
        <f t="shared" si="73"/>
        <v>181594598611509.28</v>
      </c>
      <c r="D1552">
        <f t="shared" si="74"/>
        <v>181.59459861150927</v>
      </c>
      <c r="H1552" s="9">
        <v>10827</v>
      </c>
    </row>
    <row r="1553" spans="1:8">
      <c r="A1553">
        <f t="shared" si="72"/>
        <v>1.6512164582291101E-6</v>
      </c>
      <c r="B1553" s="9">
        <v>1.65121645822911</v>
      </c>
      <c r="C1553">
        <f t="shared" si="73"/>
        <v>181558539164223.31</v>
      </c>
      <c r="D1553">
        <f t="shared" si="74"/>
        <v>181.5585391642233</v>
      </c>
      <c r="H1553" s="9">
        <v>10827</v>
      </c>
    </row>
    <row r="1554" spans="1:8">
      <c r="A1554">
        <f t="shared" si="72"/>
        <v>1.65154434217109E-6</v>
      </c>
      <c r="B1554" s="9">
        <v>1.65154434217109</v>
      </c>
      <c r="C1554">
        <f t="shared" si="73"/>
        <v>181522494034824.59</v>
      </c>
      <c r="D1554">
        <f t="shared" si="74"/>
        <v>181.5224940348246</v>
      </c>
      <c r="H1554" s="9">
        <v>10827</v>
      </c>
    </row>
    <row r="1555" spans="1:8">
      <c r="A1555">
        <f t="shared" si="72"/>
        <v>1.6518722261130601E-6</v>
      </c>
      <c r="B1555" s="9">
        <v>1.6518722261130601</v>
      </c>
      <c r="C1555">
        <f t="shared" si="73"/>
        <v>181486463214789.31</v>
      </c>
      <c r="D1555">
        <f t="shared" si="74"/>
        <v>181.48646321478932</v>
      </c>
      <c r="H1555" s="9">
        <v>10827</v>
      </c>
    </row>
    <row r="1556" spans="1:8">
      <c r="A1556">
        <f t="shared" si="72"/>
        <v>1.65220011005503E-6</v>
      </c>
      <c r="B1556" s="9">
        <v>1.6522001100550301</v>
      </c>
      <c r="C1556">
        <f t="shared" si="73"/>
        <v>181450446695597.16</v>
      </c>
      <c r="D1556">
        <f t="shared" si="74"/>
        <v>181.45044669559715</v>
      </c>
      <c r="H1556" s="9">
        <v>10827</v>
      </c>
    </row>
    <row r="1557" spans="1:8">
      <c r="A1557">
        <f t="shared" si="72"/>
        <v>1.652527993997E-6</v>
      </c>
      <c r="B1557" s="9">
        <v>1.6525279939969999</v>
      </c>
      <c r="C1557">
        <f t="shared" si="73"/>
        <v>181414444468735.75</v>
      </c>
      <c r="D1557">
        <f t="shared" si="74"/>
        <v>181.41444446873575</v>
      </c>
      <c r="H1557" s="9">
        <v>10827</v>
      </c>
    </row>
    <row r="1558" spans="1:8">
      <c r="A1558">
        <f t="shared" si="72"/>
        <v>1.6528558779389699E-6</v>
      </c>
      <c r="B1558" s="9">
        <v>1.6528558779389699</v>
      </c>
      <c r="C1558">
        <f t="shared" si="73"/>
        <v>181378456525699.28</v>
      </c>
      <c r="D1558">
        <f t="shared" si="74"/>
        <v>181.37845652569928</v>
      </c>
      <c r="H1558" s="9">
        <v>10827</v>
      </c>
    </row>
    <row r="1559" spans="1:8">
      <c r="A1559">
        <f t="shared" si="72"/>
        <v>1.6531837618809399E-6</v>
      </c>
      <c r="B1559" s="9">
        <v>1.65318376188094</v>
      </c>
      <c r="C1559">
        <f t="shared" si="73"/>
        <v>181342482857988.94</v>
      </c>
      <c r="D1559">
        <f t="shared" si="74"/>
        <v>181.34248285798893</v>
      </c>
      <c r="H1559" s="9">
        <v>10827</v>
      </c>
    </row>
    <row r="1560" spans="1:8">
      <c r="A1560">
        <f t="shared" si="72"/>
        <v>1.65351164582291E-6</v>
      </c>
      <c r="B1560" s="9">
        <v>1.65351164582291</v>
      </c>
      <c r="C1560">
        <f t="shared" si="73"/>
        <v>181306523457112.44</v>
      </c>
      <c r="D1560">
        <f t="shared" si="74"/>
        <v>181.30652345711243</v>
      </c>
      <c r="H1560" s="9">
        <v>10827</v>
      </c>
    </row>
    <row r="1561" spans="1:8">
      <c r="A1561">
        <f t="shared" si="72"/>
        <v>1.6538395297648799E-6</v>
      </c>
      <c r="B1561" s="9">
        <v>1.65383952976488</v>
      </c>
      <c r="C1561">
        <f t="shared" si="73"/>
        <v>181270578314584.31</v>
      </c>
      <c r="D1561">
        <f t="shared" si="74"/>
        <v>181.2705783145843</v>
      </c>
      <c r="H1561" s="9">
        <v>10827</v>
      </c>
    </row>
    <row r="1562" spans="1:8">
      <c r="A1562">
        <f t="shared" si="72"/>
        <v>1.6541674137068501E-6</v>
      </c>
      <c r="B1562" s="9">
        <v>1.6541674137068501</v>
      </c>
      <c r="C1562">
        <f t="shared" si="73"/>
        <v>181234647421925.91</v>
      </c>
      <c r="D1562">
        <f t="shared" si="74"/>
        <v>181.2346474219259</v>
      </c>
      <c r="H1562" s="9">
        <v>10782</v>
      </c>
    </row>
    <row r="1563" spans="1:8">
      <c r="A1563">
        <f t="shared" si="72"/>
        <v>1.65449529764882E-6</v>
      </c>
      <c r="B1563" s="9">
        <v>1.6544952976488201</v>
      </c>
      <c r="C1563">
        <f t="shared" si="73"/>
        <v>181198730770665.12</v>
      </c>
      <c r="D1563">
        <f t="shared" si="74"/>
        <v>181.19873077066512</v>
      </c>
      <c r="H1563" s="9">
        <v>10782</v>
      </c>
    </row>
    <row r="1564" spans="1:8">
      <c r="A1564">
        <f t="shared" si="72"/>
        <v>1.6548231815908001E-6</v>
      </c>
      <c r="B1564" s="9">
        <v>1.6548231815908001</v>
      </c>
      <c r="C1564">
        <f t="shared" si="73"/>
        <v>181162828352335.59</v>
      </c>
      <c r="D1564">
        <f t="shared" si="74"/>
        <v>181.16282835233559</v>
      </c>
      <c r="H1564" s="9">
        <v>10782</v>
      </c>
    </row>
    <row r="1565" spans="1:8">
      <c r="A1565">
        <f t="shared" si="72"/>
        <v>1.6551510655327698E-6</v>
      </c>
      <c r="B1565" s="9">
        <v>1.6551510655327699</v>
      </c>
      <c r="C1565">
        <f t="shared" si="73"/>
        <v>181126940158480.94</v>
      </c>
      <c r="D1565">
        <f t="shared" si="74"/>
        <v>181.12694015848095</v>
      </c>
      <c r="H1565" s="9">
        <v>10782</v>
      </c>
    </row>
    <row r="1566" spans="1:8">
      <c r="A1566">
        <f t="shared" si="72"/>
        <v>1.65547894947474E-6</v>
      </c>
      <c r="B1566" s="9">
        <v>1.6554789494747399</v>
      </c>
      <c r="C1566">
        <f t="shared" si="73"/>
        <v>181091066180648.16</v>
      </c>
      <c r="D1566">
        <f t="shared" si="74"/>
        <v>181.09106618064817</v>
      </c>
      <c r="H1566" s="9">
        <v>10782</v>
      </c>
    </row>
    <row r="1567" spans="1:8">
      <c r="A1567">
        <f t="shared" si="72"/>
        <v>1.6558068334167099E-6</v>
      </c>
      <c r="B1567" s="9">
        <v>1.65580683341671</v>
      </c>
      <c r="C1567">
        <f t="shared" si="73"/>
        <v>181055206410392</v>
      </c>
      <c r="D1567">
        <f t="shared" si="74"/>
        <v>181.055206410392</v>
      </c>
      <c r="H1567" s="9">
        <v>10782</v>
      </c>
    </row>
    <row r="1568" spans="1:8">
      <c r="A1568">
        <f t="shared" si="72"/>
        <v>1.6561347173586801E-6</v>
      </c>
      <c r="B1568" s="9">
        <v>1.65613471735868</v>
      </c>
      <c r="C1568">
        <f t="shared" si="73"/>
        <v>181019360839274.03</v>
      </c>
      <c r="D1568">
        <f t="shared" si="74"/>
        <v>181.01936083927404</v>
      </c>
      <c r="H1568" s="9">
        <v>10782</v>
      </c>
    </row>
    <row r="1569" spans="1:8">
      <c r="A1569">
        <f t="shared" si="72"/>
        <v>1.65646260130065E-6</v>
      </c>
      <c r="B1569" s="9">
        <v>1.65646260130065</v>
      </c>
      <c r="C1569">
        <f t="shared" si="73"/>
        <v>180983529458862.37</v>
      </c>
      <c r="D1569">
        <f t="shared" si="74"/>
        <v>180.98352945886236</v>
      </c>
      <c r="H1569" s="9">
        <v>10782</v>
      </c>
    </row>
    <row r="1570" spans="1:8">
      <c r="A1570">
        <f t="shared" si="72"/>
        <v>1.6567904852426202E-6</v>
      </c>
      <c r="B1570" s="9">
        <v>1.6567904852426201</v>
      </c>
      <c r="C1570">
        <f t="shared" si="73"/>
        <v>180947712260731.91</v>
      </c>
      <c r="D1570">
        <f t="shared" si="74"/>
        <v>180.94771226073192</v>
      </c>
      <c r="H1570" s="9">
        <v>10782</v>
      </c>
    </row>
    <row r="1571" spans="1:8">
      <c r="A1571">
        <f t="shared" si="72"/>
        <v>1.6571183691845901E-6</v>
      </c>
      <c r="B1571" s="9">
        <v>1.6571183691845901</v>
      </c>
      <c r="C1571">
        <f t="shared" si="73"/>
        <v>180911909236464.12</v>
      </c>
      <c r="D1571">
        <f t="shared" si="74"/>
        <v>180.91190923646411</v>
      </c>
      <c r="H1571" s="9">
        <v>10782</v>
      </c>
    </row>
    <row r="1572" spans="1:8">
      <c r="A1572">
        <f t="shared" si="72"/>
        <v>1.6574462531265598E-6</v>
      </c>
      <c r="B1572" s="9">
        <v>1.6574462531265599</v>
      </c>
      <c r="C1572">
        <f t="shared" si="73"/>
        <v>180876120377647.22</v>
      </c>
      <c r="D1572">
        <f t="shared" si="74"/>
        <v>180.87612037764723</v>
      </c>
      <c r="H1572" s="9">
        <v>10782</v>
      </c>
    </row>
    <row r="1573" spans="1:8">
      <c r="A1573">
        <f t="shared" si="72"/>
        <v>1.65777413706853E-6</v>
      </c>
      <c r="B1573" s="9">
        <v>1.6577741370685299</v>
      </c>
      <c r="C1573">
        <f t="shared" si="73"/>
        <v>180840345675876</v>
      </c>
      <c r="D1573">
        <f t="shared" si="74"/>
        <v>180.84034567587599</v>
      </c>
      <c r="H1573" s="9">
        <v>10782</v>
      </c>
    </row>
    <row r="1574" spans="1:8">
      <c r="A1574">
        <f t="shared" si="72"/>
        <v>1.6581020210105101E-6</v>
      </c>
      <c r="B1574" s="9">
        <v>1.65810202101051</v>
      </c>
      <c r="C1574">
        <f t="shared" si="73"/>
        <v>180804585122750.87</v>
      </c>
      <c r="D1574">
        <f t="shared" si="74"/>
        <v>180.80458512275086</v>
      </c>
      <c r="H1574" s="9">
        <v>10782</v>
      </c>
    </row>
    <row r="1575" spans="1:8">
      <c r="A1575">
        <f t="shared" si="72"/>
        <v>1.65842990495248E-6</v>
      </c>
      <c r="B1575" s="9">
        <v>1.65842990495248</v>
      </c>
      <c r="C1575">
        <f t="shared" si="73"/>
        <v>180768838709882.12</v>
      </c>
      <c r="D1575">
        <f t="shared" si="74"/>
        <v>180.76883870988212</v>
      </c>
      <c r="H1575" s="9">
        <v>10782</v>
      </c>
    </row>
    <row r="1576" spans="1:8">
      <c r="A1576">
        <f t="shared" si="72"/>
        <v>1.6587577888944499E-6</v>
      </c>
      <c r="B1576" s="9">
        <v>1.65875778889445</v>
      </c>
      <c r="C1576">
        <f t="shared" si="73"/>
        <v>180733106428883.44</v>
      </c>
      <c r="D1576">
        <f t="shared" si="74"/>
        <v>180.73310642888345</v>
      </c>
      <c r="H1576" s="9">
        <v>10782</v>
      </c>
    </row>
    <row r="1577" spans="1:8">
      <c r="A1577">
        <f t="shared" si="72"/>
        <v>1.6590856728364201E-6</v>
      </c>
      <c r="B1577" s="9">
        <v>1.6590856728364201</v>
      </c>
      <c r="C1577">
        <f t="shared" si="73"/>
        <v>180697388271376.19</v>
      </c>
      <c r="D1577">
        <f t="shared" si="74"/>
        <v>180.69738827137618</v>
      </c>
      <c r="H1577" s="9">
        <v>10782</v>
      </c>
    </row>
    <row r="1578" spans="1:8">
      <c r="A1578">
        <f t="shared" si="72"/>
        <v>1.65941355677839E-6</v>
      </c>
      <c r="B1578" s="9">
        <v>1.6594135567783901</v>
      </c>
      <c r="C1578">
        <f t="shared" si="73"/>
        <v>180661684228988.37</v>
      </c>
      <c r="D1578">
        <f t="shared" si="74"/>
        <v>180.66168422898838</v>
      </c>
      <c r="H1578" s="9">
        <v>10728</v>
      </c>
    </row>
    <row r="1579" spans="1:8">
      <c r="A1579">
        <f t="shared" si="72"/>
        <v>1.65974144072036E-6</v>
      </c>
      <c r="B1579" s="9">
        <v>1.6597414407203599</v>
      </c>
      <c r="C1579">
        <f t="shared" si="73"/>
        <v>180625994293354.69</v>
      </c>
      <c r="D1579">
        <f t="shared" si="74"/>
        <v>180.62599429335469</v>
      </c>
      <c r="H1579" s="9">
        <v>10728</v>
      </c>
    </row>
    <row r="1580" spans="1:8">
      <c r="A1580">
        <f t="shared" si="72"/>
        <v>1.6600693246623299E-6</v>
      </c>
      <c r="B1580" s="9">
        <v>1.6600693246623299</v>
      </c>
      <c r="C1580">
        <f t="shared" si="73"/>
        <v>180590318456116.25</v>
      </c>
      <c r="D1580">
        <f t="shared" si="74"/>
        <v>180.59031845611625</v>
      </c>
      <c r="H1580" s="9">
        <v>10728</v>
      </c>
    </row>
    <row r="1581" spans="1:8">
      <c r="A1581">
        <f t="shared" si="72"/>
        <v>1.6603972086043E-6</v>
      </c>
      <c r="B1581" s="9">
        <v>1.6603972086043</v>
      </c>
      <c r="C1581">
        <f t="shared" si="73"/>
        <v>180554656708920.97</v>
      </c>
      <c r="D1581">
        <f t="shared" si="74"/>
        <v>180.55465670892096</v>
      </c>
      <c r="H1581" s="9">
        <v>10728</v>
      </c>
    </row>
    <row r="1582" spans="1:8">
      <c r="A1582">
        <f t="shared" si="72"/>
        <v>1.66072509254627E-6</v>
      </c>
      <c r="B1582" s="9">
        <v>1.66072509254627</v>
      </c>
      <c r="C1582">
        <f t="shared" si="73"/>
        <v>180519009043423.25</v>
      </c>
      <c r="D1582">
        <f t="shared" si="74"/>
        <v>180.51900904342324</v>
      </c>
      <c r="H1582" s="9">
        <v>10728</v>
      </c>
    </row>
    <row r="1583" spans="1:8">
      <c r="A1583">
        <f t="shared" si="72"/>
        <v>1.6610529764882401E-6</v>
      </c>
      <c r="B1583" s="9">
        <v>1.66105297648824</v>
      </c>
      <c r="C1583">
        <f t="shared" si="73"/>
        <v>180483375451284.09</v>
      </c>
      <c r="D1583">
        <f t="shared" si="74"/>
        <v>180.4833754512841</v>
      </c>
      <c r="H1583" s="9">
        <v>10728</v>
      </c>
    </row>
    <row r="1584" spans="1:8">
      <c r="A1584">
        <f t="shared" si="72"/>
        <v>1.6613808604302101E-6</v>
      </c>
      <c r="B1584" s="9">
        <v>1.66138086043021</v>
      </c>
      <c r="C1584">
        <f t="shared" si="73"/>
        <v>180447755924171.16</v>
      </c>
      <c r="D1584">
        <f t="shared" si="74"/>
        <v>180.44775592417116</v>
      </c>
      <c r="H1584" s="9">
        <v>10728</v>
      </c>
    </row>
    <row r="1585" spans="1:8">
      <c r="A1585">
        <f t="shared" si="72"/>
        <v>1.6617087443721902E-6</v>
      </c>
      <c r="B1585" s="9">
        <v>1.6617087443721901</v>
      </c>
      <c r="C1585">
        <f t="shared" si="73"/>
        <v>180412150453757.5</v>
      </c>
      <c r="D1585">
        <f t="shared" si="74"/>
        <v>180.4121504537575</v>
      </c>
      <c r="H1585" s="9">
        <v>10728</v>
      </c>
    </row>
    <row r="1586" spans="1:8">
      <c r="A1586">
        <f t="shared" si="72"/>
        <v>1.6620366283141601E-6</v>
      </c>
      <c r="B1586" s="9">
        <v>1.6620366283141601</v>
      </c>
      <c r="C1586">
        <f t="shared" si="73"/>
        <v>180376559031726.03</v>
      </c>
      <c r="D1586">
        <f t="shared" si="74"/>
        <v>180.37655903172603</v>
      </c>
      <c r="H1586" s="9">
        <v>10728</v>
      </c>
    </row>
    <row r="1587" spans="1:8">
      <c r="A1587">
        <f t="shared" si="72"/>
        <v>1.6623645122561298E-6</v>
      </c>
      <c r="B1587" s="9">
        <v>1.6623645122561299</v>
      </c>
      <c r="C1587">
        <f t="shared" si="73"/>
        <v>180340981649763.03</v>
      </c>
      <c r="D1587">
        <f t="shared" si="74"/>
        <v>180.34098164976302</v>
      </c>
      <c r="H1587" s="9">
        <v>10728</v>
      </c>
    </row>
    <row r="1588" spans="1:8">
      <c r="A1588">
        <f t="shared" si="72"/>
        <v>1.6626923961981E-6</v>
      </c>
      <c r="B1588" s="9">
        <v>1.6626923961980999</v>
      </c>
      <c r="C1588">
        <f t="shared" si="73"/>
        <v>180305418299562.31</v>
      </c>
      <c r="D1588">
        <f t="shared" si="74"/>
        <v>180.30541829956232</v>
      </c>
      <c r="H1588" s="9">
        <v>10728</v>
      </c>
    </row>
    <row r="1589" spans="1:8">
      <c r="A1589">
        <f t="shared" si="72"/>
        <v>1.6630202801400699E-6</v>
      </c>
      <c r="B1589" s="9">
        <v>1.66302028014007</v>
      </c>
      <c r="C1589">
        <f t="shared" si="73"/>
        <v>180269868972824.31</v>
      </c>
      <c r="D1589">
        <f t="shared" si="74"/>
        <v>180.26986897282433</v>
      </c>
      <c r="H1589" s="9">
        <v>10728</v>
      </c>
    </row>
    <row r="1590" spans="1:8">
      <c r="A1590">
        <f t="shared" si="72"/>
        <v>1.6633481640820401E-6</v>
      </c>
      <c r="B1590" s="9">
        <v>1.66334816408204</v>
      </c>
      <c r="C1590">
        <f t="shared" si="73"/>
        <v>180234333661256</v>
      </c>
      <c r="D1590">
        <f t="shared" si="74"/>
        <v>180.23433366125599</v>
      </c>
      <c r="H1590" s="9">
        <v>10728</v>
      </c>
    </row>
    <row r="1591" spans="1:8">
      <c r="A1591">
        <f t="shared" si="72"/>
        <v>1.66367604802401E-6</v>
      </c>
      <c r="B1591" s="9">
        <v>1.66367604802401</v>
      </c>
      <c r="C1591">
        <f t="shared" si="73"/>
        <v>180198812356570.87</v>
      </c>
      <c r="D1591">
        <f t="shared" si="74"/>
        <v>180.19881235657087</v>
      </c>
      <c r="H1591" s="9">
        <v>10728</v>
      </c>
    </row>
    <row r="1592" spans="1:8">
      <c r="A1592">
        <f t="shared" si="72"/>
        <v>1.6640039319659801E-6</v>
      </c>
      <c r="B1592" s="9">
        <v>1.6640039319659801</v>
      </c>
      <c r="C1592">
        <f t="shared" si="73"/>
        <v>180163305050489</v>
      </c>
      <c r="D1592">
        <f t="shared" si="74"/>
        <v>180.16330505048899</v>
      </c>
      <c r="H1592" s="9">
        <v>10728</v>
      </c>
    </row>
    <row r="1593" spans="1:8">
      <c r="A1593">
        <f t="shared" si="72"/>
        <v>1.6643318159079501E-6</v>
      </c>
      <c r="B1593" s="9">
        <v>1.6643318159079501</v>
      </c>
      <c r="C1593">
        <f t="shared" si="73"/>
        <v>180127811734736.87</v>
      </c>
      <c r="D1593">
        <f t="shared" si="74"/>
        <v>180.12781173473687</v>
      </c>
      <c r="H1593" s="9">
        <v>10728</v>
      </c>
    </row>
    <row r="1594" spans="1:8">
      <c r="A1594">
        <f t="shared" si="72"/>
        <v>1.66465969984993E-6</v>
      </c>
      <c r="B1594" s="9">
        <v>1.6646596998499299</v>
      </c>
      <c r="C1594">
        <f t="shared" si="73"/>
        <v>180092332401046.56</v>
      </c>
      <c r="D1594">
        <f t="shared" si="74"/>
        <v>180.09233240104658</v>
      </c>
      <c r="H1594" s="9">
        <v>10728</v>
      </c>
    </row>
    <row r="1595" spans="1:8">
      <c r="A1595">
        <f t="shared" si="72"/>
        <v>1.6649875837918999E-6</v>
      </c>
      <c r="B1595" s="9">
        <v>1.6649875837918999</v>
      </c>
      <c r="C1595">
        <f t="shared" si="73"/>
        <v>180056867041159.78</v>
      </c>
      <c r="D1595">
        <f t="shared" si="74"/>
        <v>180.05686704115979</v>
      </c>
      <c r="H1595" s="9">
        <v>10728</v>
      </c>
    </row>
    <row r="1596" spans="1:8">
      <c r="A1596">
        <f t="shared" si="72"/>
        <v>1.66531546773387E-6</v>
      </c>
      <c r="B1596" s="9">
        <v>1.66531546773387</v>
      </c>
      <c r="C1596">
        <f t="shared" si="73"/>
        <v>180021415646821.53</v>
      </c>
      <c r="D1596">
        <f t="shared" si="74"/>
        <v>180.02141564682154</v>
      </c>
      <c r="H1596" s="9">
        <v>10690</v>
      </c>
    </row>
    <row r="1597" spans="1:8">
      <c r="A1597">
        <f t="shared" si="72"/>
        <v>1.66564335167584E-6</v>
      </c>
      <c r="B1597" s="9">
        <v>1.66564335167584</v>
      </c>
      <c r="C1597">
        <f t="shared" si="73"/>
        <v>179985978209784.41</v>
      </c>
      <c r="D1597">
        <f t="shared" si="74"/>
        <v>179.98597820978441</v>
      </c>
      <c r="H1597" s="9">
        <v>10690</v>
      </c>
    </row>
    <row r="1598" spans="1:8">
      <c r="A1598">
        <f t="shared" si="72"/>
        <v>1.6659712356178101E-6</v>
      </c>
      <c r="B1598" s="9">
        <v>1.66597123561781</v>
      </c>
      <c r="C1598">
        <f t="shared" si="73"/>
        <v>179950554721807.5</v>
      </c>
      <c r="D1598">
        <f t="shared" si="74"/>
        <v>179.95055472180749</v>
      </c>
      <c r="H1598" s="9">
        <v>10690</v>
      </c>
    </row>
    <row r="1599" spans="1:8">
      <c r="A1599">
        <f t="shared" si="72"/>
        <v>1.6662991195597801E-6</v>
      </c>
      <c r="B1599" s="9">
        <v>1.6662991195597801</v>
      </c>
      <c r="C1599">
        <f t="shared" si="73"/>
        <v>179915145174656.41</v>
      </c>
      <c r="D1599">
        <f t="shared" si="74"/>
        <v>179.9151451746564</v>
      </c>
      <c r="H1599" s="9">
        <v>10690</v>
      </c>
    </row>
    <row r="1600" spans="1:8">
      <c r="A1600">
        <f t="shared" si="72"/>
        <v>1.66662700350175E-6</v>
      </c>
      <c r="B1600" s="9">
        <v>1.6666270035017501</v>
      </c>
      <c r="C1600">
        <f t="shared" si="73"/>
        <v>179879749560103.19</v>
      </c>
      <c r="D1600">
        <f t="shared" si="74"/>
        <v>179.87974956010319</v>
      </c>
      <c r="H1600" s="9">
        <v>10690</v>
      </c>
    </row>
    <row r="1601" spans="1:8">
      <c r="A1601">
        <f t="shared" si="72"/>
        <v>1.6669548874437199E-6</v>
      </c>
      <c r="B1601" s="9">
        <v>1.6669548874437199</v>
      </c>
      <c r="C1601">
        <f t="shared" si="73"/>
        <v>179844367869926.34</v>
      </c>
      <c r="D1601">
        <f t="shared" si="74"/>
        <v>179.84436786992634</v>
      </c>
      <c r="H1601" s="9">
        <v>10690</v>
      </c>
    </row>
    <row r="1602" spans="1:8">
      <c r="A1602">
        <f t="shared" si="72"/>
        <v>1.6672827713856899E-6</v>
      </c>
      <c r="B1602" s="9">
        <v>1.6672827713856899</v>
      </c>
      <c r="C1602">
        <f t="shared" si="73"/>
        <v>179809000095910.84</v>
      </c>
      <c r="D1602">
        <f t="shared" si="74"/>
        <v>179.80900009591085</v>
      </c>
      <c r="H1602" s="9">
        <v>10690</v>
      </c>
    </row>
    <row r="1603" spans="1:8">
      <c r="A1603">
        <f t="shared" si="72"/>
        <v>1.66761065532766E-6</v>
      </c>
      <c r="B1603" s="9">
        <v>1.66761065532766</v>
      </c>
      <c r="C1603">
        <f t="shared" si="73"/>
        <v>179773646229848.16</v>
      </c>
      <c r="D1603">
        <f t="shared" si="74"/>
        <v>179.77364622984817</v>
      </c>
      <c r="H1603" s="9">
        <v>10690</v>
      </c>
    </row>
    <row r="1604" spans="1:8">
      <c r="A1604">
        <f t="shared" si="72"/>
        <v>1.6679385392696299E-6</v>
      </c>
      <c r="B1604" s="9">
        <v>1.66793853926963</v>
      </c>
      <c r="C1604">
        <f t="shared" si="73"/>
        <v>179738306263536.22</v>
      </c>
      <c r="D1604">
        <f t="shared" si="74"/>
        <v>179.73830626353623</v>
      </c>
      <c r="H1604" s="9">
        <v>10690</v>
      </c>
    </row>
    <row r="1605" spans="1:8">
      <c r="A1605">
        <f t="shared" si="72"/>
        <v>1.66826642321161E-6</v>
      </c>
      <c r="B1605" s="9">
        <v>1.66826642321161</v>
      </c>
      <c r="C1605">
        <f t="shared" si="73"/>
        <v>179702980188778.31</v>
      </c>
      <c r="D1605">
        <f t="shared" si="74"/>
        <v>179.70298018877833</v>
      </c>
      <c r="H1605" s="9">
        <v>10690</v>
      </c>
    </row>
    <row r="1606" spans="1:8">
      <c r="A1606">
        <f t="shared" si="72"/>
        <v>1.66859430715358E-6</v>
      </c>
      <c r="B1606" s="9">
        <v>1.66859430715358</v>
      </c>
      <c r="C1606">
        <f t="shared" si="73"/>
        <v>179667667997387.34</v>
      </c>
      <c r="D1606">
        <f t="shared" si="74"/>
        <v>179.66766799738735</v>
      </c>
      <c r="H1606" s="9">
        <v>10690</v>
      </c>
    </row>
    <row r="1607" spans="1:8">
      <c r="A1607">
        <f t="shared" ref="A1607:A1670" si="75">B1607/1000000</f>
        <v>1.6689221910955501E-6</v>
      </c>
      <c r="B1607" s="9">
        <v>1.6689221910955501</v>
      </c>
      <c r="C1607">
        <f t="shared" ref="C1607:C1670" si="76">wavelength_to_freq(B1607)</f>
        <v>179632369681179.53</v>
      </c>
      <c r="D1607">
        <f t="shared" ref="D1607:D1670" si="77">C1607/1000000000000</f>
        <v>179.63236968117954</v>
      </c>
      <c r="H1607" s="9">
        <v>10690</v>
      </c>
    </row>
    <row r="1608" spans="1:8">
      <c r="A1608">
        <f t="shared" si="75"/>
        <v>1.6692500750375201E-6</v>
      </c>
      <c r="B1608" s="9">
        <v>1.6692500750375201</v>
      </c>
      <c r="C1608">
        <f t="shared" si="76"/>
        <v>179597085231978.5</v>
      </c>
      <c r="D1608">
        <f t="shared" si="77"/>
        <v>179.5970852319785</v>
      </c>
      <c r="H1608" s="9">
        <v>10690</v>
      </c>
    </row>
    <row r="1609" spans="1:8">
      <c r="A1609">
        <f t="shared" si="75"/>
        <v>1.66957795897949E-6</v>
      </c>
      <c r="B1609" s="9">
        <v>1.6695779589794899</v>
      </c>
      <c r="C1609">
        <f t="shared" si="76"/>
        <v>179561814641614.37</v>
      </c>
      <c r="D1609">
        <f t="shared" si="77"/>
        <v>179.56181464161438</v>
      </c>
      <c r="H1609" s="9">
        <v>10690</v>
      </c>
    </row>
    <row r="1610" spans="1:8">
      <c r="A1610">
        <f t="shared" si="75"/>
        <v>1.6699058429214599E-6</v>
      </c>
      <c r="B1610" s="9">
        <v>1.6699058429214599</v>
      </c>
      <c r="C1610">
        <f t="shared" si="76"/>
        <v>179526557901923.59</v>
      </c>
      <c r="D1610">
        <f t="shared" si="77"/>
        <v>179.52655790192358</v>
      </c>
      <c r="H1610" s="9">
        <v>10690</v>
      </c>
    </row>
    <row r="1611" spans="1:8">
      <c r="A1611">
        <f t="shared" si="75"/>
        <v>1.6702337268634299E-6</v>
      </c>
      <c r="B1611" s="9">
        <v>1.67023372686343</v>
      </c>
      <c r="C1611">
        <f t="shared" si="76"/>
        <v>179491315004749.12</v>
      </c>
      <c r="D1611">
        <f t="shared" si="77"/>
        <v>179.49131500474911</v>
      </c>
      <c r="H1611" s="9">
        <v>10690</v>
      </c>
    </row>
    <row r="1612" spans="1:8">
      <c r="A1612">
        <f t="shared" si="75"/>
        <v>1.6705616108054E-6</v>
      </c>
      <c r="B1612" s="9">
        <v>1.6705616108054</v>
      </c>
      <c r="C1612">
        <f t="shared" si="76"/>
        <v>179456085941940.25</v>
      </c>
      <c r="D1612">
        <f t="shared" si="77"/>
        <v>179.45608594194024</v>
      </c>
      <c r="H1612" s="9">
        <v>10690</v>
      </c>
    </row>
    <row r="1613" spans="1:8">
      <c r="A1613">
        <f t="shared" si="75"/>
        <v>1.67088949474737E-6</v>
      </c>
      <c r="B1613" s="9">
        <v>1.67088949474737</v>
      </c>
      <c r="C1613">
        <f t="shared" si="76"/>
        <v>179420870705352.72</v>
      </c>
      <c r="D1613">
        <f t="shared" si="77"/>
        <v>179.42087070535271</v>
      </c>
      <c r="H1613" s="9">
        <v>10690</v>
      </c>
    </row>
    <row r="1614" spans="1:8">
      <c r="A1614">
        <f t="shared" si="75"/>
        <v>1.6712173786893401E-6</v>
      </c>
      <c r="B1614" s="9">
        <v>1.6712173786893401</v>
      </c>
      <c r="C1614">
        <f t="shared" si="76"/>
        <v>179385669286848.62</v>
      </c>
      <c r="D1614">
        <f t="shared" si="77"/>
        <v>179.38566928684864</v>
      </c>
      <c r="H1614" s="9">
        <v>10690</v>
      </c>
    </row>
    <row r="1615" spans="1:8">
      <c r="A1615">
        <f t="shared" si="75"/>
        <v>1.67154526263132E-6</v>
      </c>
      <c r="B1615" s="9">
        <v>1.6715452626313201</v>
      </c>
      <c r="C1615">
        <f t="shared" si="76"/>
        <v>179350481678295.37</v>
      </c>
      <c r="D1615">
        <f t="shared" si="77"/>
        <v>179.35048167829538</v>
      </c>
      <c r="H1615" s="9">
        <v>10690</v>
      </c>
    </row>
    <row r="1616" spans="1:8">
      <c r="A1616">
        <f t="shared" si="75"/>
        <v>1.6718731465732899E-6</v>
      </c>
      <c r="B1616" s="9">
        <v>1.6718731465732899</v>
      </c>
      <c r="C1616">
        <f t="shared" si="76"/>
        <v>179315307871570.03</v>
      </c>
      <c r="D1616">
        <f t="shared" si="77"/>
        <v>179.31530787157004</v>
      </c>
      <c r="H1616" s="9">
        <v>10598</v>
      </c>
    </row>
    <row r="1617" spans="1:8">
      <c r="A1617">
        <f t="shared" si="75"/>
        <v>1.6722010305152599E-6</v>
      </c>
      <c r="B1617" s="9">
        <v>1.6722010305152599</v>
      </c>
      <c r="C1617">
        <f t="shared" si="76"/>
        <v>179280147858552.72</v>
      </c>
      <c r="D1617">
        <f t="shared" si="77"/>
        <v>179.28014785855271</v>
      </c>
      <c r="H1617" s="9">
        <v>10598</v>
      </c>
    </row>
    <row r="1618" spans="1:8">
      <c r="A1618">
        <f t="shared" si="75"/>
        <v>1.67252891445723E-6</v>
      </c>
      <c r="B1618" s="9">
        <v>1.67252891445723</v>
      </c>
      <c r="C1618">
        <f t="shared" si="76"/>
        <v>179245001631131.03</v>
      </c>
      <c r="D1618">
        <f t="shared" si="77"/>
        <v>179.24500163113103</v>
      </c>
      <c r="H1618" s="9">
        <v>10598</v>
      </c>
    </row>
    <row r="1619" spans="1:8">
      <c r="A1619">
        <f t="shared" si="75"/>
        <v>1.6728567983991999E-6</v>
      </c>
      <c r="B1619" s="9">
        <v>1.6728567983992</v>
      </c>
      <c r="C1619">
        <f t="shared" si="76"/>
        <v>179209869181199</v>
      </c>
      <c r="D1619">
        <f t="shared" si="77"/>
        <v>179.209869181199</v>
      </c>
      <c r="H1619" s="9">
        <v>10598</v>
      </c>
    </row>
    <row r="1620" spans="1:8">
      <c r="A1620">
        <f t="shared" si="75"/>
        <v>1.6731846823411701E-6</v>
      </c>
      <c r="B1620" s="9">
        <v>1.67318468234117</v>
      </c>
      <c r="C1620">
        <f t="shared" si="76"/>
        <v>179174750500656.91</v>
      </c>
      <c r="D1620">
        <f t="shared" si="77"/>
        <v>179.1747505006569</v>
      </c>
      <c r="H1620" s="9">
        <v>10598</v>
      </c>
    </row>
    <row r="1621" spans="1:8">
      <c r="A1621">
        <f t="shared" si="75"/>
        <v>1.67351256628314E-6</v>
      </c>
      <c r="B1621" s="9">
        <v>1.67351256628314</v>
      </c>
      <c r="C1621">
        <f t="shared" si="76"/>
        <v>179139645581411.44</v>
      </c>
      <c r="D1621">
        <f t="shared" si="77"/>
        <v>179.13964558141143</v>
      </c>
      <c r="H1621" s="9">
        <v>10598</v>
      </c>
    </row>
    <row r="1622" spans="1:8">
      <c r="A1622">
        <f t="shared" si="75"/>
        <v>1.6738404502251102E-6</v>
      </c>
      <c r="B1622" s="9">
        <v>1.6738404502251101</v>
      </c>
      <c r="C1622">
        <f t="shared" si="76"/>
        <v>179104554415375.59</v>
      </c>
      <c r="D1622">
        <f t="shared" si="77"/>
        <v>179.10455441537559</v>
      </c>
      <c r="H1622" s="9">
        <v>10598</v>
      </c>
    </row>
    <row r="1623" spans="1:8">
      <c r="A1623">
        <f t="shared" si="75"/>
        <v>1.6741683341670801E-6</v>
      </c>
      <c r="B1623" s="9">
        <v>1.6741683341670801</v>
      </c>
      <c r="C1623">
        <f t="shared" si="76"/>
        <v>179069476994468.75</v>
      </c>
      <c r="D1623">
        <f t="shared" si="77"/>
        <v>179.06947699446874</v>
      </c>
      <c r="H1623" s="9">
        <v>10598</v>
      </c>
    </row>
    <row r="1624" spans="1:8">
      <c r="A1624">
        <f t="shared" si="75"/>
        <v>1.6744962181090498E-6</v>
      </c>
      <c r="B1624" s="9">
        <v>1.6744962181090499</v>
      </c>
      <c r="C1624">
        <f t="shared" si="76"/>
        <v>179034413310616.56</v>
      </c>
      <c r="D1624">
        <f t="shared" si="77"/>
        <v>179.03441331061657</v>
      </c>
      <c r="H1624" s="9">
        <v>10598</v>
      </c>
    </row>
    <row r="1625" spans="1:8">
      <c r="A1625">
        <f t="shared" si="75"/>
        <v>1.6748241020510299E-6</v>
      </c>
      <c r="B1625" s="9">
        <v>1.6748241020510299</v>
      </c>
      <c r="C1625">
        <f t="shared" si="76"/>
        <v>178999363355749.97</v>
      </c>
      <c r="D1625">
        <f t="shared" si="77"/>
        <v>178.99936335574998</v>
      </c>
      <c r="H1625" s="9">
        <v>10598</v>
      </c>
    </row>
    <row r="1626" spans="1:8">
      <c r="A1626">
        <f t="shared" si="75"/>
        <v>1.6751519859929999E-6</v>
      </c>
      <c r="B1626" s="9">
        <v>1.675151985993</v>
      </c>
      <c r="C1626">
        <f t="shared" si="76"/>
        <v>178964327121809.44</v>
      </c>
      <c r="D1626">
        <f t="shared" si="77"/>
        <v>178.96432712180945</v>
      </c>
      <c r="H1626" s="9">
        <v>10598</v>
      </c>
    </row>
    <row r="1627" spans="1:8">
      <c r="A1627">
        <f t="shared" si="75"/>
        <v>1.67547986993497E-6</v>
      </c>
      <c r="B1627" s="9">
        <v>1.67547986993497</v>
      </c>
      <c r="C1627">
        <f t="shared" si="76"/>
        <v>178929304600738.53</v>
      </c>
      <c r="D1627">
        <f t="shared" si="77"/>
        <v>178.92930460073853</v>
      </c>
      <c r="H1627" s="9">
        <v>10598</v>
      </c>
    </row>
    <row r="1628" spans="1:8">
      <c r="A1628">
        <f t="shared" si="75"/>
        <v>1.67580775387694E-6</v>
      </c>
      <c r="B1628" s="9">
        <v>1.67580775387694</v>
      </c>
      <c r="C1628">
        <f t="shared" si="76"/>
        <v>178894295784488.12</v>
      </c>
      <c r="D1628">
        <f t="shared" si="77"/>
        <v>178.89429578448812</v>
      </c>
      <c r="H1628" s="9">
        <v>10598</v>
      </c>
    </row>
    <row r="1629" spans="1:8">
      <c r="A1629">
        <f t="shared" si="75"/>
        <v>1.6761356378189101E-6</v>
      </c>
      <c r="B1629" s="9">
        <v>1.6761356378189101</v>
      </c>
      <c r="C1629">
        <f t="shared" si="76"/>
        <v>178859300665015.53</v>
      </c>
      <c r="D1629">
        <f t="shared" si="77"/>
        <v>178.85930066501552</v>
      </c>
      <c r="H1629" s="9">
        <v>10598</v>
      </c>
    </row>
    <row r="1630" spans="1:8">
      <c r="A1630">
        <f t="shared" si="75"/>
        <v>1.67646352176088E-6</v>
      </c>
      <c r="B1630" s="9">
        <v>1.6764635217608801</v>
      </c>
      <c r="C1630">
        <f t="shared" si="76"/>
        <v>178824319234284.22</v>
      </c>
      <c r="D1630">
        <f t="shared" si="77"/>
        <v>178.82431923428422</v>
      </c>
      <c r="H1630" s="9">
        <v>10598</v>
      </c>
    </row>
    <row r="1631" spans="1:8">
      <c r="A1631">
        <f t="shared" si="75"/>
        <v>1.67679140570285E-6</v>
      </c>
      <c r="B1631" s="9">
        <v>1.6767914057028499</v>
      </c>
      <c r="C1631">
        <f t="shared" si="76"/>
        <v>178789351484264.03</v>
      </c>
      <c r="D1631">
        <f t="shared" si="77"/>
        <v>178.78935148426402</v>
      </c>
      <c r="H1631" s="9">
        <v>10598</v>
      </c>
    </row>
    <row r="1632" spans="1:8">
      <c r="A1632">
        <f t="shared" si="75"/>
        <v>1.6771192896448199E-6</v>
      </c>
      <c r="B1632" s="9">
        <v>1.6771192896448199</v>
      </c>
      <c r="C1632">
        <f t="shared" si="76"/>
        <v>178754397406931.03</v>
      </c>
      <c r="D1632">
        <f t="shared" si="77"/>
        <v>178.75439740693102</v>
      </c>
      <c r="H1632" s="9">
        <v>10598</v>
      </c>
    </row>
    <row r="1633" spans="1:8">
      <c r="A1633">
        <f t="shared" si="75"/>
        <v>1.6774471735867901E-6</v>
      </c>
      <c r="B1633" s="9">
        <v>1.67744717358679</v>
      </c>
      <c r="C1633">
        <f t="shared" si="76"/>
        <v>178719456994267.56</v>
      </c>
      <c r="D1633">
        <f t="shared" si="77"/>
        <v>178.71945699426757</v>
      </c>
      <c r="H1633" s="9">
        <v>10598</v>
      </c>
    </row>
    <row r="1634" spans="1:8">
      <c r="A1634">
        <f t="shared" si="75"/>
        <v>1.67777505752876E-6</v>
      </c>
      <c r="B1634" s="9">
        <v>1.67777505752876</v>
      </c>
      <c r="C1634">
        <f t="shared" si="76"/>
        <v>178684530238262.31</v>
      </c>
      <c r="D1634">
        <f t="shared" si="77"/>
        <v>178.68453023826231</v>
      </c>
      <c r="H1634" s="9">
        <v>10598</v>
      </c>
    </row>
    <row r="1635" spans="1:8">
      <c r="A1635">
        <f t="shared" si="75"/>
        <v>1.6781029414707401E-6</v>
      </c>
      <c r="B1635" s="9">
        <v>1.67810294147074</v>
      </c>
      <c r="C1635">
        <f t="shared" si="76"/>
        <v>178649617130909.06</v>
      </c>
      <c r="D1635">
        <f t="shared" si="77"/>
        <v>178.64961713090906</v>
      </c>
      <c r="H1635" s="9">
        <v>10598</v>
      </c>
    </row>
    <row r="1636" spans="1:8">
      <c r="A1636">
        <f t="shared" si="75"/>
        <v>1.67843082541271E-6</v>
      </c>
      <c r="B1636" s="9">
        <v>1.67843082541271</v>
      </c>
      <c r="C1636">
        <f t="shared" si="76"/>
        <v>178614717664211.09</v>
      </c>
      <c r="D1636">
        <f t="shared" si="77"/>
        <v>178.6147176642111</v>
      </c>
      <c r="H1636" s="9">
        <v>10598</v>
      </c>
    </row>
    <row r="1637" spans="1:8">
      <c r="A1637">
        <f t="shared" si="75"/>
        <v>1.6787587093546802E-6</v>
      </c>
      <c r="B1637" s="9">
        <v>1.6787587093546801</v>
      </c>
      <c r="C1637">
        <f t="shared" si="76"/>
        <v>178579831830174.75</v>
      </c>
      <c r="D1637">
        <f t="shared" si="77"/>
        <v>178.57983183017475</v>
      </c>
      <c r="H1637" s="9">
        <v>10598</v>
      </c>
    </row>
    <row r="1638" spans="1:8">
      <c r="A1638">
        <f t="shared" si="75"/>
        <v>1.6790865932966501E-6</v>
      </c>
      <c r="B1638" s="9">
        <v>1.6790865932966501</v>
      </c>
      <c r="C1638">
        <f t="shared" si="76"/>
        <v>178544959620813.69</v>
      </c>
      <c r="D1638">
        <f t="shared" si="77"/>
        <v>178.5449596208137</v>
      </c>
      <c r="H1638" s="9">
        <v>10598</v>
      </c>
    </row>
    <row r="1639" spans="1:8">
      <c r="A1639">
        <f t="shared" si="75"/>
        <v>1.6794144772386198E-6</v>
      </c>
      <c r="B1639" s="9">
        <v>1.6794144772386199</v>
      </c>
      <c r="C1639">
        <f t="shared" si="76"/>
        <v>178510101028147.75</v>
      </c>
      <c r="D1639">
        <f t="shared" si="77"/>
        <v>178.51010102814774</v>
      </c>
      <c r="H1639" s="9">
        <v>10598</v>
      </c>
    </row>
    <row r="1640" spans="1:8">
      <c r="A1640">
        <f t="shared" si="75"/>
        <v>1.67974236118059E-6</v>
      </c>
      <c r="B1640" s="9">
        <v>1.6797423611805899</v>
      </c>
      <c r="C1640">
        <f t="shared" si="76"/>
        <v>178475256044203.06</v>
      </c>
      <c r="D1640">
        <f t="shared" si="77"/>
        <v>178.47525604420306</v>
      </c>
      <c r="H1640" s="9">
        <v>10598</v>
      </c>
    </row>
    <row r="1641" spans="1:8">
      <c r="A1641">
        <f t="shared" si="75"/>
        <v>1.6800702451225599E-6</v>
      </c>
      <c r="B1641" s="9">
        <v>1.68007024512256</v>
      </c>
      <c r="C1641">
        <f t="shared" si="76"/>
        <v>178440424661011.94</v>
      </c>
      <c r="D1641">
        <f t="shared" si="77"/>
        <v>178.44042466101195</v>
      </c>
      <c r="H1641" s="9">
        <v>10598</v>
      </c>
    </row>
    <row r="1642" spans="1:8">
      <c r="A1642">
        <f t="shared" si="75"/>
        <v>1.6803981290645301E-6</v>
      </c>
      <c r="B1642" s="9">
        <v>1.68039812906453</v>
      </c>
      <c r="C1642">
        <f t="shared" si="76"/>
        <v>178405606870612.91</v>
      </c>
      <c r="D1642">
        <f t="shared" si="77"/>
        <v>178.4056068706129</v>
      </c>
      <c r="H1642" s="9">
        <v>10598</v>
      </c>
    </row>
    <row r="1643" spans="1:8">
      <c r="A1643">
        <f t="shared" si="75"/>
        <v>1.6807260130065E-6</v>
      </c>
      <c r="B1643" s="9">
        <v>1.6807260130065</v>
      </c>
      <c r="C1643">
        <f t="shared" si="76"/>
        <v>178370802665050.78</v>
      </c>
      <c r="D1643">
        <f t="shared" si="77"/>
        <v>178.37080266505077</v>
      </c>
      <c r="H1643" s="9">
        <v>10598</v>
      </c>
    </row>
    <row r="1644" spans="1:8">
      <c r="A1644">
        <f t="shared" si="75"/>
        <v>1.6810538969484702E-6</v>
      </c>
      <c r="B1644" s="9">
        <v>1.6810538969484701</v>
      </c>
      <c r="C1644">
        <f t="shared" si="76"/>
        <v>178336012036376.5</v>
      </c>
      <c r="D1644">
        <f t="shared" si="77"/>
        <v>178.3360120363765</v>
      </c>
      <c r="H1644" s="9">
        <v>10598</v>
      </c>
    </row>
    <row r="1645" spans="1:8">
      <c r="A1645">
        <f t="shared" si="75"/>
        <v>1.68138178089045E-6</v>
      </c>
      <c r="B1645" s="9">
        <v>1.6813817808904501</v>
      </c>
      <c r="C1645">
        <f t="shared" si="76"/>
        <v>178301234976646.19</v>
      </c>
      <c r="D1645">
        <f t="shared" si="77"/>
        <v>178.30123497664619</v>
      </c>
      <c r="H1645" s="9">
        <v>10598</v>
      </c>
    </row>
    <row r="1646" spans="1:8">
      <c r="A1646">
        <f t="shared" si="75"/>
        <v>1.68170966483242E-6</v>
      </c>
      <c r="B1646" s="9">
        <v>1.6817096648324199</v>
      </c>
      <c r="C1646">
        <f t="shared" si="76"/>
        <v>178266471477925.37</v>
      </c>
      <c r="D1646">
        <f t="shared" si="77"/>
        <v>178.26647147792536</v>
      </c>
      <c r="H1646" s="9">
        <v>10598</v>
      </c>
    </row>
    <row r="1647" spans="1:8">
      <c r="A1647">
        <f t="shared" si="75"/>
        <v>1.6820375487743899E-6</v>
      </c>
      <c r="B1647" s="9">
        <v>1.6820375487743899</v>
      </c>
      <c r="C1647">
        <f t="shared" si="76"/>
        <v>178231721532282.44</v>
      </c>
      <c r="D1647">
        <f t="shared" si="77"/>
        <v>178.23172153228245</v>
      </c>
      <c r="H1647" s="9">
        <v>10598</v>
      </c>
    </row>
    <row r="1648" spans="1:8">
      <c r="A1648">
        <f t="shared" si="75"/>
        <v>1.6823654327163601E-6</v>
      </c>
      <c r="B1648" s="9">
        <v>1.68236543271636</v>
      </c>
      <c r="C1648">
        <f t="shared" si="76"/>
        <v>178196985131793.19</v>
      </c>
      <c r="D1648">
        <f t="shared" si="77"/>
        <v>178.19698513179318</v>
      </c>
      <c r="H1648" s="9">
        <v>10598</v>
      </c>
    </row>
    <row r="1649" spans="1:8">
      <c r="A1649">
        <f t="shared" si="75"/>
        <v>1.68269331665833E-6</v>
      </c>
      <c r="B1649" s="9">
        <v>1.68269331665833</v>
      </c>
      <c r="C1649">
        <f t="shared" si="76"/>
        <v>178162262268539.5</v>
      </c>
      <c r="D1649">
        <f t="shared" si="77"/>
        <v>178.16226226853951</v>
      </c>
      <c r="H1649" s="9">
        <v>10598</v>
      </c>
    </row>
    <row r="1650" spans="1:8">
      <c r="A1650">
        <f t="shared" si="75"/>
        <v>1.6830212006002999E-6</v>
      </c>
      <c r="B1650" s="9">
        <v>1.6830212006003</v>
      </c>
      <c r="C1650">
        <f t="shared" si="76"/>
        <v>178127552934609.5</v>
      </c>
      <c r="D1650">
        <f t="shared" si="77"/>
        <v>178.1275529346095</v>
      </c>
      <c r="H1650" s="9">
        <v>10598</v>
      </c>
    </row>
    <row r="1651" spans="1:8">
      <c r="A1651">
        <f t="shared" si="75"/>
        <v>1.6833490845422701E-6</v>
      </c>
      <c r="B1651" s="9">
        <v>1.6833490845422701</v>
      </c>
      <c r="C1651">
        <f t="shared" si="76"/>
        <v>178092857122097.44</v>
      </c>
      <c r="D1651">
        <f t="shared" si="77"/>
        <v>178.09285712209743</v>
      </c>
      <c r="H1651" s="9">
        <v>10598</v>
      </c>
    </row>
    <row r="1652" spans="1:8">
      <c r="A1652">
        <f t="shared" si="75"/>
        <v>1.68367696848424E-6</v>
      </c>
      <c r="B1652" s="9">
        <v>1.6836769684842401</v>
      </c>
      <c r="C1652">
        <f t="shared" si="76"/>
        <v>178058174823103.66</v>
      </c>
      <c r="D1652">
        <f t="shared" si="77"/>
        <v>178.05817482310366</v>
      </c>
      <c r="H1652" s="9">
        <v>10598</v>
      </c>
    </row>
    <row r="1653" spans="1:8">
      <c r="A1653">
        <f t="shared" si="75"/>
        <v>1.6840048524262099E-6</v>
      </c>
      <c r="B1653" s="9">
        <v>1.6840048524262099</v>
      </c>
      <c r="C1653">
        <f t="shared" si="76"/>
        <v>178023506029734.78</v>
      </c>
      <c r="D1653">
        <f t="shared" si="77"/>
        <v>178.02350602973479</v>
      </c>
      <c r="H1653" s="9">
        <v>10598</v>
      </c>
    </row>
    <row r="1654" spans="1:8">
      <c r="A1654">
        <f t="shared" si="75"/>
        <v>1.6843327363681799E-6</v>
      </c>
      <c r="B1654" s="9">
        <v>1.6843327363681799</v>
      </c>
      <c r="C1654">
        <f t="shared" si="76"/>
        <v>177988850734103.47</v>
      </c>
      <c r="D1654">
        <f t="shared" si="77"/>
        <v>177.98885073410347</v>
      </c>
      <c r="H1654" s="9">
        <v>10598</v>
      </c>
    </row>
    <row r="1655" spans="1:8">
      <c r="A1655">
        <f t="shared" si="75"/>
        <v>1.68466062031016E-6</v>
      </c>
      <c r="B1655" s="9">
        <v>1.68466062031016</v>
      </c>
      <c r="C1655">
        <f t="shared" si="76"/>
        <v>177954208928327.5</v>
      </c>
      <c r="D1655">
        <f t="shared" si="77"/>
        <v>177.95420892832749</v>
      </c>
      <c r="H1655" s="9">
        <v>10598</v>
      </c>
    </row>
    <row r="1656" spans="1:8">
      <c r="A1656">
        <f t="shared" si="75"/>
        <v>1.6849885042521299E-6</v>
      </c>
      <c r="B1656" s="9">
        <v>1.68498850425213</v>
      </c>
      <c r="C1656">
        <f t="shared" si="76"/>
        <v>177919580604534</v>
      </c>
      <c r="D1656">
        <f t="shared" si="77"/>
        <v>177.91958060453399</v>
      </c>
      <c r="H1656" s="9">
        <v>10598</v>
      </c>
    </row>
    <row r="1657" spans="1:8">
      <c r="A1657">
        <f t="shared" si="75"/>
        <v>1.6853163881941001E-6</v>
      </c>
      <c r="B1657" s="9">
        <v>1.6853163881941</v>
      </c>
      <c r="C1657">
        <f t="shared" si="76"/>
        <v>177884965754853</v>
      </c>
      <c r="D1657">
        <f t="shared" si="77"/>
        <v>177.884965754853</v>
      </c>
      <c r="H1657" s="9">
        <v>10598</v>
      </c>
    </row>
    <row r="1658" spans="1:8">
      <c r="A1658">
        <f t="shared" si="75"/>
        <v>1.68564427213607E-6</v>
      </c>
      <c r="B1658" s="9">
        <v>1.68564427213607</v>
      </c>
      <c r="C1658">
        <f t="shared" si="76"/>
        <v>177850364371421.72</v>
      </c>
      <c r="D1658">
        <f t="shared" si="77"/>
        <v>177.8503643714217</v>
      </c>
      <c r="H1658" s="9">
        <v>10598</v>
      </c>
    </row>
    <row r="1659" spans="1:8">
      <c r="A1659">
        <f t="shared" si="75"/>
        <v>1.6859721560780402E-6</v>
      </c>
      <c r="B1659" s="9">
        <v>1.6859721560780401</v>
      </c>
      <c r="C1659">
        <f t="shared" si="76"/>
        <v>177815776446383.53</v>
      </c>
      <c r="D1659">
        <f t="shared" si="77"/>
        <v>177.81577644638352</v>
      </c>
      <c r="H1659" s="9">
        <v>10598</v>
      </c>
    </row>
    <row r="1660" spans="1:8">
      <c r="A1660">
        <f t="shared" si="75"/>
        <v>1.6863000400200101E-6</v>
      </c>
      <c r="B1660" s="9">
        <v>1.6863000400200101</v>
      </c>
      <c r="C1660">
        <f t="shared" si="76"/>
        <v>177781201971887.87</v>
      </c>
      <c r="D1660">
        <f t="shared" si="77"/>
        <v>177.78120197188787</v>
      </c>
      <c r="H1660" s="9">
        <v>10598</v>
      </c>
    </row>
    <row r="1661" spans="1:8">
      <c r="A1661">
        <f t="shared" si="75"/>
        <v>1.6866279239619798E-6</v>
      </c>
      <c r="B1661" s="9">
        <v>1.6866279239619799</v>
      </c>
      <c r="C1661">
        <f t="shared" si="76"/>
        <v>177746640940090.31</v>
      </c>
      <c r="D1661">
        <f t="shared" si="77"/>
        <v>177.74664094009032</v>
      </c>
      <c r="H1661" s="9">
        <v>10598</v>
      </c>
    </row>
    <row r="1662" spans="1:8">
      <c r="A1662">
        <f t="shared" si="75"/>
        <v>1.68695580790395E-6</v>
      </c>
      <c r="B1662" s="9">
        <v>1.6869558079039499</v>
      </c>
      <c r="C1662">
        <f t="shared" si="76"/>
        <v>177712093343152.5</v>
      </c>
      <c r="D1662">
        <f t="shared" si="77"/>
        <v>177.7120933431525</v>
      </c>
      <c r="H1662" s="9">
        <v>10598</v>
      </c>
    </row>
    <row r="1663" spans="1:8">
      <c r="A1663">
        <f t="shared" si="75"/>
        <v>1.6872836918459199E-6</v>
      </c>
      <c r="B1663" s="9">
        <v>1.68728369184592</v>
      </c>
      <c r="C1663">
        <f t="shared" si="76"/>
        <v>177677559173242.19</v>
      </c>
      <c r="D1663">
        <f t="shared" si="77"/>
        <v>177.6775591732422</v>
      </c>
      <c r="H1663" s="9">
        <v>10598</v>
      </c>
    </row>
    <row r="1664" spans="1:8">
      <c r="A1664">
        <f t="shared" si="75"/>
        <v>1.68761157578789E-6</v>
      </c>
      <c r="B1664" s="9">
        <v>1.68761157578789</v>
      </c>
      <c r="C1664">
        <f t="shared" si="76"/>
        <v>177643038422533.22</v>
      </c>
      <c r="D1664">
        <f t="shared" si="77"/>
        <v>177.64303842253321</v>
      </c>
      <c r="H1664" s="9">
        <v>10598</v>
      </c>
    </row>
    <row r="1665" spans="1:8">
      <c r="A1665">
        <f t="shared" si="75"/>
        <v>1.68793945972986E-6</v>
      </c>
      <c r="B1665" s="9">
        <v>1.68793945972986</v>
      </c>
      <c r="C1665">
        <f t="shared" si="76"/>
        <v>177608531083205.53</v>
      </c>
      <c r="D1665">
        <f t="shared" si="77"/>
        <v>177.60853108320552</v>
      </c>
      <c r="H1665" s="9">
        <v>10598</v>
      </c>
    </row>
    <row r="1666" spans="1:8">
      <c r="A1666">
        <f t="shared" si="75"/>
        <v>1.6882673436718401E-6</v>
      </c>
      <c r="B1666" s="9">
        <v>1.6882673436718401</v>
      </c>
      <c r="C1666">
        <f t="shared" si="76"/>
        <v>177574037147444.03</v>
      </c>
      <c r="D1666">
        <f t="shared" si="77"/>
        <v>177.57403714744405</v>
      </c>
      <c r="H1666" s="9">
        <v>10598</v>
      </c>
    </row>
    <row r="1667" spans="1:8">
      <c r="A1667">
        <f t="shared" si="75"/>
        <v>1.68859522761381E-6</v>
      </c>
      <c r="B1667" s="9">
        <v>1.6885952276138101</v>
      </c>
      <c r="C1667">
        <f t="shared" si="76"/>
        <v>177539556607442.91</v>
      </c>
      <c r="D1667">
        <f t="shared" si="77"/>
        <v>177.5395566074429</v>
      </c>
      <c r="H1667" s="9">
        <v>10598</v>
      </c>
    </row>
    <row r="1668" spans="1:8">
      <c r="A1668">
        <f t="shared" si="75"/>
        <v>1.6889231115557799E-6</v>
      </c>
      <c r="B1668" s="9">
        <v>1.6889231115557799</v>
      </c>
      <c r="C1668">
        <f t="shared" si="76"/>
        <v>177505089455399.28</v>
      </c>
      <c r="D1668">
        <f t="shared" si="77"/>
        <v>177.50508945539929</v>
      </c>
      <c r="H1668" s="9">
        <v>10598</v>
      </c>
    </row>
    <row r="1669" spans="1:8">
      <c r="A1669">
        <f t="shared" si="75"/>
        <v>1.6892509954977499E-6</v>
      </c>
      <c r="B1669" s="9">
        <v>1.6892509954977499</v>
      </c>
      <c r="C1669">
        <f t="shared" si="76"/>
        <v>177470635683517.25</v>
      </c>
      <c r="D1669">
        <f t="shared" si="77"/>
        <v>177.47063568351726</v>
      </c>
      <c r="H1669" s="9">
        <v>10598</v>
      </c>
    </row>
    <row r="1670" spans="1:8">
      <c r="A1670">
        <f t="shared" si="75"/>
        <v>1.68957887943972E-6</v>
      </c>
      <c r="B1670" s="9">
        <v>1.68957887943972</v>
      </c>
      <c r="C1670">
        <f t="shared" si="76"/>
        <v>177436195284007.06</v>
      </c>
      <c r="D1670">
        <f t="shared" si="77"/>
        <v>177.43619528400706</v>
      </c>
      <c r="H1670" s="9">
        <v>10598</v>
      </c>
    </row>
    <row r="1671" spans="1:8">
      <c r="A1671">
        <f t="shared" ref="A1671:A1734" si="78">B1671/1000000</f>
        <v>1.68990676338169E-6</v>
      </c>
      <c r="B1671" s="9">
        <v>1.68990676338169</v>
      </c>
      <c r="C1671">
        <f t="shared" ref="C1671:C1734" si="79">wavelength_to_freq(B1671)</f>
        <v>177401768249085.06</v>
      </c>
      <c r="D1671">
        <f t="shared" ref="D1671:D1734" si="80">C1671/1000000000000</f>
        <v>177.40176824908505</v>
      </c>
      <c r="H1671" s="9">
        <v>10598</v>
      </c>
    </row>
    <row r="1672" spans="1:8">
      <c r="A1672">
        <f t="shared" si="78"/>
        <v>1.6902346473236601E-6</v>
      </c>
      <c r="B1672" s="9">
        <v>1.69023464732366</v>
      </c>
      <c r="C1672">
        <f t="shared" si="79"/>
        <v>177367354570973.53</v>
      </c>
      <c r="D1672">
        <f t="shared" si="80"/>
        <v>177.36735457097353</v>
      </c>
      <c r="H1672" s="9">
        <v>10598</v>
      </c>
    </row>
    <row r="1673" spans="1:8">
      <c r="A1673">
        <f t="shared" si="78"/>
        <v>1.69056253126563E-6</v>
      </c>
      <c r="B1673" s="9">
        <v>1.6905625312656301</v>
      </c>
      <c r="C1673">
        <f t="shared" si="79"/>
        <v>177332954241900.81</v>
      </c>
      <c r="D1673">
        <f t="shared" si="80"/>
        <v>177.33295424190081</v>
      </c>
      <c r="H1673" s="9">
        <v>10598</v>
      </c>
    </row>
    <row r="1674" spans="1:8">
      <c r="A1674">
        <f t="shared" si="78"/>
        <v>1.6908904152076E-6</v>
      </c>
      <c r="B1674" s="9">
        <v>1.6908904152076001</v>
      </c>
      <c r="C1674">
        <f t="shared" si="79"/>
        <v>177298567254101.31</v>
      </c>
      <c r="D1674">
        <f t="shared" si="80"/>
        <v>177.2985672541013</v>
      </c>
      <c r="H1674" s="9">
        <v>10598</v>
      </c>
    </row>
    <row r="1675" spans="1:8">
      <c r="A1675">
        <f t="shared" si="78"/>
        <v>1.6912182991495699E-6</v>
      </c>
      <c r="B1675" s="9">
        <v>1.6912182991495699</v>
      </c>
      <c r="C1675">
        <f t="shared" si="79"/>
        <v>177264193599815.47</v>
      </c>
      <c r="D1675">
        <f t="shared" si="80"/>
        <v>177.26419359981546</v>
      </c>
      <c r="H1675" s="9">
        <v>10598</v>
      </c>
    </row>
    <row r="1676" spans="1:8">
      <c r="A1676">
        <f t="shared" si="78"/>
        <v>1.6915461830915498E-6</v>
      </c>
      <c r="B1676" s="9">
        <v>1.6915461830915499</v>
      </c>
      <c r="C1676">
        <f t="shared" si="79"/>
        <v>177229833271288.59</v>
      </c>
      <c r="D1676">
        <f t="shared" si="80"/>
        <v>177.22983327128858</v>
      </c>
      <c r="H1676" s="9">
        <v>10598</v>
      </c>
    </row>
    <row r="1677" spans="1:8">
      <c r="A1677">
        <f t="shared" si="78"/>
        <v>1.69187406703352E-6</v>
      </c>
      <c r="B1677" s="9">
        <v>1.6918740670335199</v>
      </c>
      <c r="C1677">
        <f t="shared" si="79"/>
        <v>177195486260775.22</v>
      </c>
      <c r="D1677">
        <f t="shared" si="80"/>
        <v>177.19548626077523</v>
      </c>
      <c r="H1677" s="9">
        <v>10598</v>
      </c>
    </row>
    <row r="1678" spans="1:8">
      <c r="A1678">
        <f t="shared" si="78"/>
        <v>1.6922019509754899E-6</v>
      </c>
      <c r="B1678" s="9">
        <v>1.69220195097549</v>
      </c>
      <c r="C1678">
        <f t="shared" si="79"/>
        <v>177161152560532.78</v>
      </c>
      <c r="D1678">
        <f t="shared" si="80"/>
        <v>177.16115256053277</v>
      </c>
      <c r="H1678" s="9">
        <v>10598</v>
      </c>
    </row>
    <row r="1679" spans="1:8">
      <c r="A1679">
        <f t="shared" si="78"/>
        <v>1.69252983491746E-6</v>
      </c>
      <c r="B1679" s="9">
        <v>1.69252983491746</v>
      </c>
      <c r="C1679">
        <f t="shared" si="79"/>
        <v>177126832162825.69</v>
      </c>
      <c r="D1679">
        <f t="shared" si="80"/>
        <v>177.12683216282568</v>
      </c>
      <c r="H1679" s="9">
        <v>10598</v>
      </c>
    </row>
    <row r="1680" spans="1:8">
      <c r="A1680">
        <f t="shared" si="78"/>
        <v>1.69285771885943E-6</v>
      </c>
      <c r="B1680" s="9">
        <v>1.69285771885943</v>
      </c>
      <c r="C1680">
        <f t="shared" si="79"/>
        <v>177092525059924.37</v>
      </c>
      <c r="D1680">
        <f t="shared" si="80"/>
        <v>177.09252505992438</v>
      </c>
      <c r="H1680" s="9">
        <v>10598</v>
      </c>
    </row>
    <row r="1681" spans="1:8">
      <c r="A1681">
        <f t="shared" si="78"/>
        <v>1.6931856028014001E-6</v>
      </c>
      <c r="B1681" s="9">
        <v>1.6931856028014001</v>
      </c>
      <c r="C1681">
        <f t="shared" si="79"/>
        <v>177058231244105.22</v>
      </c>
      <c r="D1681">
        <f t="shared" si="80"/>
        <v>177.05823124410523</v>
      </c>
      <c r="H1681" s="9">
        <v>10598</v>
      </c>
    </row>
    <row r="1682" spans="1:8">
      <c r="A1682">
        <f t="shared" si="78"/>
        <v>1.6935134867433701E-6</v>
      </c>
      <c r="B1682" s="9">
        <v>1.6935134867433701</v>
      </c>
      <c r="C1682">
        <f t="shared" si="79"/>
        <v>177023950707650.69</v>
      </c>
      <c r="D1682">
        <f t="shared" si="80"/>
        <v>177.0239507076507</v>
      </c>
      <c r="H1682" s="9">
        <v>10598</v>
      </c>
    </row>
    <row r="1683" spans="1:8">
      <c r="A1683">
        <f t="shared" si="78"/>
        <v>1.69384137068534E-6</v>
      </c>
      <c r="B1683" s="9">
        <v>1.6938413706853399</v>
      </c>
      <c r="C1683">
        <f t="shared" si="79"/>
        <v>176989683442849.16</v>
      </c>
      <c r="D1683">
        <f t="shared" si="80"/>
        <v>176.98968344284916</v>
      </c>
      <c r="H1683" s="9">
        <v>10598</v>
      </c>
    </row>
    <row r="1684" spans="1:8">
      <c r="A1684">
        <f t="shared" si="78"/>
        <v>1.6941692546273099E-6</v>
      </c>
      <c r="B1684" s="9">
        <v>1.6941692546273099</v>
      </c>
      <c r="C1684">
        <f t="shared" si="79"/>
        <v>176955429441994.87</v>
      </c>
      <c r="D1684">
        <f t="shared" si="80"/>
        <v>176.95542944199488</v>
      </c>
      <c r="H1684" s="9">
        <v>10598</v>
      </c>
    </row>
    <row r="1685" spans="1:8">
      <c r="A1685">
        <f t="shared" si="78"/>
        <v>1.6944971385692799E-6</v>
      </c>
      <c r="B1685" s="9">
        <v>1.69449713856928</v>
      </c>
      <c r="C1685">
        <f t="shared" si="79"/>
        <v>176921188697388.22</v>
      </c>
      <c r="D1685">
        <f t="shared" si="80"/>
        <v>176.92118869738823</v>
      </c>
      <c r="H1685" s="9">
        <v>10598</v>
      </c>
    </row>
    <row r="1686" spans="1:8">
      <c r="A1686">
        <f t="shared" si="78"/>
        <v>1.69482502251126E-6</v>
      </c>
      <c r="B1686" s="9">
        <v>1.69482502251126</v>
      </c>
      <c r="C1686">
        <f t="shared" si="79"/>
        <v>176886961201334.44</v>
      </c>
      <c r="D1686">
        <f t="shared" si="80"/>
        <v>176.88696120133443</v>
      </c>
      <c r="H1686" s="9">
        <v>10598</v>
      </c>
    </row>
    <row r="1687" spans="1:8">
      <c r="A1687">
        <f t="shared" si="78"/>
        <v>1.6951529064532301E-6</v>
      </c>
      <c r="B1687" s="9">
        <v>1.69515290645323</v>
      </c>
      <c r="C1687">
        <f t="shared" si="79"/>
        <v>176852746946147.78</v>
      </c>
      <c r="D1687">
        <f t="shared" si="80"/>
        <v>176.85274694614779</v>
      </c>
      <c r="H1687" s="9">
        <v>10598</v>
      </c>
    </row>
    <row r="1688" spans="1:8">
      <c r="A1688">
        <f t="shared" si="78"/>
        <v>1.6954807903952E-6</v>
      </c>
      <c r="B1688" s="9">
        <v>1.6954807903952001</v>
      </c>
      <c r="C1688">
        <f t="shared" si="79"/>
        <v>176818545924145.37</v>
      </c>
      <c r="D1688">
        <f t="shared" si="80"/>
        <v>176.81854592414538</v>
      </c>
      <c r="H1688" s="9">
        <v>10598</v>
      </c>
    </row>
    <row r="1689" spans="1:8">
      <c r="A1689">
        <f t="shared" si="78"/>
        <v>1.69580867433717E-6</v>
      </c>
      <c r="B1689" s="9">
        <v>1.6958086743371701</v>
      </c>
      <c r="C1689">
        <f t="shared" si="79"/>
        <v>176784358127651.37</v>
      </c>
      <c r="D1689">
        <f t="shared" si="80"/>
        <v>176.78435812765139</v>
      </c>
      <c r="H1689" s="9">
        <v>10598</v>
      </c>
    </row>
    <row r="1690" spans="1:8">
      <c r="A1690">
        <f t="shared" si="78"/>
        <v>1.6961365582791399E-6</v>
      </c>
      <c r="B1690" s="9">
        <v>1.6961365582791399</v>
      </c>
      <c r="C1690">
        <f t="shared" si="79"/>
        <v>176750183548995.81</v>
      </c>
      <c r="D1690">
        <f t="shared" si="80"/>
        <v>176.75018354899581</v>
      </c>
      <c r="H1690" s="9">
        <v>10598</v>
      </c>
    </row>
    <row r="1691" spans="1:8">
      <c r="A1691">
        <f t="shared" si="78"/>
        <v>1.6964644422211099E-6</v>
      </c>
      <c r="B1691" s="9">
        <v>1.6964644422211099</v>
      </c>
      <c r="C1691">
        <f t="shared" si="79"/>
        <v>176716022180514.59</v>
      </c>
      <c r="D1691">
        <f t="shared" si="80"/>
        <v>176.71602218051459</v>
      </c>
      <c r="H1691" s="9">
        <v>10598</v>
      </c>
    </row>
    <row r="1692" spans="1:8">
      <c r="A1692">
        <f t="shared" si="78"/>
        <v>1.69679232616308E-6</v>
      </c>
      <c r="B1692" s="9">
        <v>1.69679232616308</v>
      </c>
      <c r="C1692">
        <f t="shared" si="79"/>
        <v>176681874014549.69</v>
      </c>
      <c r="D1692">
        <f t="shared" si="80"/>
        <v>176.68187401454969</v>
      </c>
      <c r="H1692" s="9">
        <v>10598</v>
      </c>
    </row>
    <row r="1693" spans="1:8">
      <c r="A1693">
        <f t="shared" si="78"/>
        <v>1.6971202101050499E-6</v>
      </c>
      <c r="B1693" s="9">
        <v>1.69712021010505</v>
      </c>
      <c r="C1693">
        <f t="shared" si="79"/>
        <v>176647739043448.87</v>
      </c>
      <c r="D1693">
        <f t="shared" si="80"/>
        <v>176.64773904344887</v>
      </c>
      <c r="H1693" s="9">
        <v>10598</v>
      </c>
    </row>
    <row r="1694" spans="1:8">
      <c r="A1694">
        <f t="shared" si="78"/>
        <v>1.6974480940470201E-6</v>
      </c>
      <c r="B1694" s="9">
        <v>1.69744809404702</v>
      </c>
      <c r="C1694">
        <f t="shared" si="79"/>
        <v>176613617259565.91</v>
      </c>
      <c r="D1694">
        <f t="shared" si="80"/>
        <v>176.6136172595659</v>
      </c>
      <c r="H1694" s="9">
        <v>10573</v>
      </c>
    </row>
    <row r="1695" spans="1:8">
      <c r="A1695">
        <f t="shared" si="78"/>
        <v>1.69777597798899E-6</v>
      </c>
      <c r="B1695" s="9">
        <v>1.69777597798899</v>
      </c>
      <c r="C1695">
        <f t="shared" si="79"/>
        <v>176579508655260.37</v>
      </c>
      <c r="D1695">
        <f t="shared" si="80"/>
        <v>176.57950865526038</v>
      </c>
      <c r="H1695" s="9">
        <v>10573</v>
      </c>
    </row>
    <row r="1696" spans="1:8">
      <c r="A1696">
        <f t="shared" si="78"/>
        <v>1.6981038619309701E-6</v>
      </c>
      <c r="B1696" s="9">
        <v>1.6981038619309701</v>
      </c>
      <c r="C1696">
        <f t="shared" si="79"/>
        <v>176545413222896.78</v>
      </c>
      <c r="D1696">
        <f t="shared" si="80"/>
        <v>176.54541322289677</v>
      </c>
      <c r="H1696" s="9">
        <v>10573</v>
      </c>
    </row>
    <row r="1697" spans="1:8">
      <c r="A1697">
        <f t="shared" si="78"/>
        <v>1.6984317458729401E-6</v>
      </c>
      <c r="B1697" s="9">
        <v>1.6984317458729401</v>
      </c>
      <c r="C1697">
        <f t="shared" si="79"/>
        <v>176511330954848.69</v>
      </c>
      <c r="D1697">
        <f t="shared" si="80"/>
        <v>176.51133095484869</v>
      </c>
      <c r="H1697" s="9">
        <v>10573</v>
      </c>
    </row>
    <row r="1698" spans="1:8">
      <c r="A1698">
        <f t="shared" si="78"/>
        <v>1.69875962981491E-6</v>
      </c>
      <c r="B1698" s="9">
        <v>1.6987596298149099</v>
      </c>
      <c r="C1698">
        <f t="shared" si="79"/>
        <v>176477261843492.34</v>
      </c>
      <c r="D1698">
        <f t="shared" si="80"/>
        <v>176.47726184349236</v>
      </c>
      <c r="H1698" s="9">
        <v>10573</v>
      </c>
    </row>
    <row r="1699" spans="1:8">
      <c r="A1699">
        <f t="shared" si="78"/>
        <v>1.6990875137568799E-6</v>
      </c>
      <c r="B1699" s="9">
        <v>1.6990875137568799</v>
      </c>
      <c r="C1699">
        <f t="shared" si="79"/>
        <v>176443205881210.94</v>
      </c>
      <c r="D1699">
        <f t="shared" si="80"/>
        <v>176.44320588121093</v>
      </c>
      <c r="H1699" s="9">
        <v>10543</v>
      </c>
    </row>
    <row r="1700" spans="1:8">
      <c r="A1700">
        <f t="shared" si="78"/>
        <v>1.6994153976988501E-6</v>
      </c>
      <c r="B1700" s="9">
        <v>1.69941539769885</v>
      </c>
      <c r="C1700">
        <f t="shared" si="79"/>
        <v>176409163060393.56</v>
      </c>
      <c r="D1700">
        <f t="shared" si="80"/>
        <v>176.40916306039355</v>
      </c>
      <c r="H1700" s="9">
        <v>10543</v>
      </c>
    </row>
    <row r="1701" spans="1:8">
      <c r="A1701">
        <f t="shared" si="78"/>
        <v>1.69974328164082E-6</v>
      </c>
      <c r="B1701" s="9">
        <v>1.69974328164082</v>
      </c>
      <c r="C1701">
        <f t="shared" si="79"/>
        <v>176375133373435.16</v>
      </c>
      <c r="D1701">
        <f t="shared" si="80"/>
        <v>176.37513337343515</v>
      </c>
      <c r="H1701" s="9">
        <v>10543</v>
      </c>
    </row>
    <row r="1702" spans="1:8">
      <c r="A1702">
        <f t="shared" si="78"/>
        <v>1.7000711655827899E-6</v>
      </c>
      <c r="B1702" s="9">
        <v>1.70007116558279</v>
      </c>
      <c r="C1702">
        <f t="shared" si="79"/>
        <v>176341116812736.56</v>
      </c>
      <c r="D1702">
        <f t="shared" si="80"/>
        <v>176.34111681273657</v>
      </c>
      <c r="H1702" s="9">
        <v>10543</v>
      </c>
    </row>
    <row r="1703" spans="1:8">
      <c r="A1703">
        <f t="shared" si="78"/>
        <v>1.7003990495247601E-6</v>
      </c>
      <c r="B1703" s="9">
        <v>1.7003990495247601</v>
      </c>
      <c r="C1703">
        <f t="shared" si="79"/>
        <v>176307113370704.47</v>
      </c>
      <c r="D1703">
        <f t="shared" si="80"/>
        <v>176.30711337070446</v>
      </c>
      <c r="H1703" s="9">
        <v>10532</v>
      </c>
    </row>
    <row r="1704" spans="1:8">
      <c r="A1704">
        <f t="shared" si="78"/>
        <v>1.70072693346673E-6</v>
      </c>
      <c r="B1704" s="9">
        <v>1.7007269334667301</v>
      </c>
      <c r="C1704">
        <f t="shared" si="79"/>
        <v>176273123039751.41</v>
      </c>
      <c r="D1704">
        <f t="shared" si="80"/>
        <v>176.2731230397514</v>
      </c>
      <c r="H1704" s="9">
        <v>10488</v>
      </c>
    </row>
    <row r="1705" spans="1:8">
      <c r="A1705">
        <f t="shared" si="78"/>
        <v>1.7010548174087E-6</v>
      </c>
      <c r="B1705" s="9">
        <v>1.7010548174086999</v>
      </c>
      <c r="C1705">
        <f t="shared" si="79"/>
        <v>176239145812295.75</v>
      </c>
      <c r="D1705">
        <f t="shared" si="80"/>
        <v>176.23914581229576</v>
      </c>
      <c r="H1705" s="9">
        <v>10488</v>
      </c>
    </row>
    <row r="1706" spans="1:8">
      <c r="A1706">
        <f t="shared" si="78"/>
        <v>1.7013827013506799E-6</v>
      </c>
      <c r="B1706" s="9">
        <v>1.7013827013506799</v>
      </c>
      <c r="C1706">
        <f t="shared" si="79"/>
        <v>176205181680760.72</v>
      </c>
      <c r="D1706">
        <f t="shared" si="80"/>
        <v>176.20518168076072</v>
      </c>
      <c r="H1706" s="9">
        <v>10488</v>
      </c>
    </row>
    <row r="1707" spans="1:8">
      <c r="A1707">
        <f t="shared" si="78"/>
        <v>1.70171058529265E-6</v>
      </c>
      <c r="B1707" s="9">
        <v>1.70171058529265</v>
      </c>
      <c r="C1707">
        <f t="shared" si="79"/>
        <v>176171230637578.41</v>
      </c>
      <c r="D1707">
        <f t="shared" si="80"/>
        <v>176.17123063757842</v>
      </c>
      <c r="H1707" s="9">
        <v>10488</v>
      </c>
    </row>
    <row r="1708" spans="1:8">
      <c r="A1708">
        <f t="shared" si="78"/>
        <v>1.7020384692346199E-6</v>
      </c>
      <c r="B1708" s="9">
        <v>1.70203846923462</v>
      </c>
      <c r="C1708">
        <f t="shared" si="79"/>
        <v>176137292675183.75</v>
      </c>
      <c r="D1708">
        <f t="shared" si="80"/>
        <v>176.13729267518374</v>
      </c>
      <c r="H1708" s="9">
        <v>10488</v>
      </c>
    </row>
    <row r="1709" spans="1:8">
      <c r="A1709">
        <f t="shared" si="78"/>
        <v>1.7023663531765901E-6</v>
      </c>
      <c r="B1709" s="9">
        <v>1.70236635317659</v>
      </c>
      <c r="C1709">
        <f t="shared" si="79"/>
        <v>176103367786018.44</v>
      </c>
      <c r="D1709">
        <f t="shared" si="80"/>
        <v>176.10336778601842</v>
      </c>
      <c r="H1709" s="9">
        <v>10488</v>
      </c>
    </row>
    <row r="1710" spans="1:8">
      <c r="A1710">
        <f t="shared" si="78"/>
        <v>1.70269423711856E-6</v>
      </c>
      <c r="B1710" s="9">
        <v>1.70269423711856</v>
      </c>
      <c r="C1710">
        <f t="shared" si="79"/>
        <v>176069455962530.03</v>
      </c>
      <c r="D1710">
        <f t="shared" si="80"/>
        <v>176.06945596253004</v>
      </c>
      <c r="H1710" s="9">
        <v>10463</v>
      </c>
    </row>
    <row r="1711" spans="1:8">
      <c r="A1711">
        <f t="shared" si="78"/>
        <v>1.7030221210605302E-6</v>
      </c>
      <c r="B1711" s="9">
        <v>1.7030221210605301</v>
      </c>
      <c r="C1711">
        <f t="shared" si="79"/>
        <v>176035557197171.94</v>
      </c>
      <c r="D1711">
        <f t="shared" si="80"/>
        <v>176.03555719717193</v>
      </c>
      <c r="H1711" s="9">
        <v>10463</v>
      </c>
    </row>
    <row r="1712" spans="1:8">
      <c r="A1712">
        <f t="shared" si="78"/>
        <v>1.7033500050024999E-6</v>
      </c>
      <c r="B1712" s="9">
        <v>1.7033500050024999</v>
      </c>
      <c r="C1712">
        <f t="shared" si="79"/>
        <v>176001671482403.31</v>
      </c>
      <c r="D1712">
        <f t="shared" si="80"/>
        <v>176.00167148240331</v>
      </c>
      <c r="H1712" s="9">
        <v>10378</v>
      </c>
    </row>
    <row r="1713" spans="1:8">
      <c r="A1713">
        <f t="shared" si="78"/>
        <v>1.7036778889444698E-6</v>
      </c>
      <c r="B1713" s="9">
        <v>1.7036778889444699</v>
      </c>
      <c r="C1713">
        <f t="shared" si="79"/>
        <v>175967798810689.09</v>
      </c>
      <c r="D1713">
        <f t="shared" si="80"/>
        <v>175.96779881068909</v>
      </c>
      <c r="H1713" s="9">
        <v>10378</v>
      </c>
    </row>
    <row r="1714" spans="1:8">
      <c r="A1714">
        <f t="shared" si="78"/>
        <v>1.70400577288644E-6</v>
      </c>
      <c r="B1714" s="9">
        <v>1.70400577288644</v>
      </c>
      <c r="C1714">
        <f t="shared" si="79"/>
        <v>175933939174500.12</v>
      </c>
      <c r="D1714">
        <f t="shared" si="80"/>
        <v>175.93393917450013</v>
      </c>
      <c r="H1714" s="9">
        <v>10378</v>
      </c>
    </row>
    <row r="1715" spans="1:8">
      <c r="A1715">
        <f t="shared" si="78"/>
        <v>1.7043336568284099E-6</v>
      </c>
      <c r="B1715" s="9">
        <v>1.70433365682841</v>
      </c>
      <c r="C1715">
        <f t="shared" si="79"/>
        <v>175900092566312.97</v>
      </c>
      <c r="D1715">
        <f t="shared" si="80"/>
        <v>175.90009256631296</v>
      </c>
      <c r="H1715" s="9">
        <v>10378</v>
      </c>
    </row>
    <row r="1716" spans="1:8">
      <c r="A1716">
        <f t="shared" si="78"/>
        <v>1.70466154077039E-6</v>
      </c>
      <c r="B1716" s="9">
        <v>1.70466154077039</v>
      </c>
      <c r="C1716">
        <f t="shared" si="79"/>
        <v>175866258978608.97</v>
      </c>
      <c r="D1716">
        <f t="shared" si="80"/>
        <v>175.86625897860898</v>
      </c>
      <c r="H1716" s="9">
        <v>10378</v>
      </c>
    </row>
    <row r="1717" spans="1:8">
      <c r="A1717">
        <f t="shared" si="78"/>
        <v>1.7049894247123599E-6</v>
      </c>
      <c r="B1717" s="9">
        <v>1.70498942471236</v>
      </c>
      <c r="C1717">
        <f t="shared" si="79"/>
        <v>175832438403878.34</v>
      </c>
      <c r="D1717">
        <f t="shared" si="80"/>
        <v>175.83243840387834</v>
      </c>
      <c r="H1717" s="9">
        <v>10378</v>
      </c>
    </row>
    <row r="1718" spans="1:8">
      <c r="A1718">
        <f t="shared" si="78"/>
        <v>1.7053173086543301E-6</v>
      </c>
      <c r="B1718" s="9">
        <v>1.7053173086543301</v>
      </c>
      <c r="C1718">
        <f t="shared" si="79"/>
        <v>175798630834613.97</v>
      </c>
      <c r="D1718">
        <f t="shared" si="80"/>
        <v>175.79863083461396</v>
      </c>
      <c r="H1718" s="9">
        <v>10378</v>
      </c>
    </row>
    <row r="1719" spans="1:8">
      <c r="A1719">
        <f t="shared" si="78"/>
        <v>1.7056451925963E-6</v>
      </c>
      <c r="B1719" s="9">
        <v>1.7056451925963001</v>
      </c>
      <c r="C1719">
        <f t="shared" si="79"/>
        <v>175764836263315.56</v>
      </c>
      <c r="D1719">
        <f t="shared" si="80"/>
        <v>175.76483626331557</v>
      </c>
      <c r="H1719" s="9">
        <v>10352</v>
      </c>
    </row>
    <row r="1720" spans="1:8">
      <c r="A1720">
        <f t="shared" si="78"/>
        <v>1.70597307653827E-6</v>
      </c>
      <c r="B1720" s="9">
        <v>1.7059730765382699</v>
      </c>
      <c r="C1720">
        <f t="shared" si="79"/>
        <v>175731054682488.59</v>
      </c>
      <c r="D1720">
        <f t="shared" si="80"/>
        <v>175.7310546824886</v>
      </c>
      <c r="H1720" s="9">
        <v>10352</v>
      </c>
    </row>
    <row r="1721" spans="1:8">
      <c r="A1721">
        <f t="shared" si="78"/>
        <v>1.7063009604802399E-6</v>
      </c>
      <c r="B1721" s="9">
        <v>1.7063009604802399</v>
      </c>
      <c r="C1721">
        <f t="shared" si="79"/>
        <v>175697286084644.25</v>
      </c>
      <c r="D1721">
        <f t="shared" si="80"/>
        <v>175.69728608464425</v>
      </c>
      <c r="H1721" s="9">
        <v>10352</v>
      </c>
    </row>
    <row r="1722" spans="1:8">
      <c r="A1722">
        <f t="shared" si="78"/>
        <v>1.70662884442221E-6</v>
      </c>
      <c r="B1722" s="9">
        <v>1.70662884442221</v>
      </c>
      <c r="C1722">
        <f t="shared" si="79"/>
        <v>175663530462299.56</v>
      </c>
      <c r="D1722">
        <f t="shared" si="80"/>
        <v>175.66353046229958</v>
      </c>
      <c r="H1722" s="9">
        <v>10352</v>
      </c>
    </row>
    <row r="1723" spans="1:8">
      <c r="A1723">
        <f t="shared" si="78"/>
        <v>1.70695672836418E-6</v>
      </c>
      <c r="B1723" s="9">
        <v>1.70695672836418</v>
      </c>
      <c r="C1723">
        <f t="shared" si="79"/>
        <v>175629787807977.25</v>
      </c>
      <c r="D1723">
        <f t="shared" si="80"/>
        <v>175.62978780797724</v>
      </c>
      <c r="H1723" s="9">
        <v>10352</v>
      </c>
    </row>
    <row r="1724" spans="1:8">
      <c r="A1724">
        <f t="shared" si="78"/>
        <v>1.7072846123061501E-6</v>
      </c>
      <c r="B1724" s="9">
        <v>1.70728461230615</v>
      </c>
      <c r="C1724">
        <f t="shared" si="79"/>
        <v>175596058114205.78</v>
      </c>
      <c r="D1724">
        <f t="shared" si="80"/>
        <v>175.59605811420579</v>
      </c>
      <c r="H1724" s="9">
        <v>10352</v>
      </c>
    </row>
    <row r="1725" spans="1:8">
      <c r="A1725">
        <f t="shared" si="78"/>
        <v>1.7076124962481201E-6</v>
      </c>
      <c r="B1725" s="9">
        <v>1.7076124962481201</v>
      </c>
      <c r="C1725">
        <f t="shared" si="79"/>
        <v>175562341373519.34</v>
      </c>
      <c r="D1725">
        <f t="shared" si="80"/>
        <v>175.56234137351933</v>
      </c>
      <c r="H1725" s="9">
        <v>10352</v>
      </c>
    </row>
    <row r="1726" spans="1:8">
      <c r="A1726">
        <f t="shared" si="78"/>
        <v>1.70794038019009E-6</v>
      </c>
      <c r="B1726" s="9">
        <v>1.7079403801900901</v>
      </c>
      <c r="C1726">
        <f t="shared" si="79"/>
        <v>175528637578457.94</v>
      </c>
      <c r="D1726">
        <f t="shared" si="80"/>
        <v>175.52863757845793</v>
      </c>
      <c r="H1726" s="9">
        <v>10352</v>
      </c>
    </row>
    <row r="1727" spans="1:8">
      <c r="A1727">
        <f t="shared" si="78"/>
        <v>1.7082682641320699E-6</v>
      </c>
      <c r="B1727" s="9">
        <v>1.7082682641320699</v>
      </c>
      <c r="C1727">
        <f t="shared" si="79"/>
        <v>175494946721566.22</v>
      </c>
      <c r="D1727">
        <f t="shared" si="80"/>
        <v>175.49494672156621</v>
      </c>
      <c r="H1727" s="9">
        <v>10352</v>
      </c>
    </row>
    <row r="1728" spans="1:8">
      <c r="A1728">
        <f t="shared" si="78"/>
        <v>1.7085961480740398E-6</v>
      </c>
      <c r="B1728" s="9">
        <v>1.7085961480740399</v>
      </c>
      <c r="C1728">
        <f t="shared" si="79"/>
        <v>175461268795397.56</v>
      </c>
      <c r="D1728">
        <f t="shared" si="80"/>
        <v>175.46126879539756</v>
      </c>
      <c r="H1728" s="9">
        <v>10352</v>
      </c>
    </row>
    <row r="1729" spans="1:8">
      <c r="A1729">
        <f t="shared" si="78"/>
        <v>1.70892403201601E-6</v>
      </c>
      <c r="B1729" s="9">
        <v>1.70892403201601</v>
      </c>
      <c r="C1729">
        <f t="shared" si="79"/>
        <v>175427603792508.09</v>
      </c>
      <c r="D1729">
        <f t="shared" si="80"/>
        <v>175.42760379250808</v>
      </c>
      <c r="H1729" s="9">
        <v>10352</v>
      </c>
    </row>
    <row r="1730" spans="1:8">
      <c r="A1730">
        <f t="shared" si="78"/>
        <v>1.7092519159579799E-6</v>
      </c>
      <c r="B1730" s="9">
        <v>1.70925191595798</v>
      </c>
      <c r="C1730">
        <f t="shared" si="79"/>
        <v>175393951705460.62</v>
      </c>
      <c r="D1730">
        <f t="shared" si="80"/>
        <v>175.39395170546064</v>
      </c>
      <c r="H1730" s="9">
        <v>10352</v>
      </c>
    </row>
    <row r="1731" spans="1:8">
      <c r="A1731">
        <f t="shared" si="78"/>
        <v>1.7095797998999501E-6</v>
      </c>
      <c r="B1731" s="9">
        <v>1.70957979989995</v>
      </c>
      <c r="C1731">
        <f t="shared" si="79"/>
        <v>175360312526823.72</v>
      </c>
      <c r="D1731">
        <f t="shared" si="80"/>
        <v>175.36031252682372</v>
      </c>
      <c r="H1731" s="9">
        <v>10352</v>
      </c>
    </row>
    <row r="1732" spans="1:8">
      <c r="A1732">
        <f t="shared" si="78"/>
        <v>1.70990768384192E-6</v>
      </c>
      <c r="B1732" s="9">
        <v>1.70990768384192</v>
      </c>
      <c r="C1732">
        <f t="shared" si="79"/>
        <v>175326686249171.59</v>
      </c>
      <c r="D1732">
        <f t="shared" si="80"/>
        <v>175.32668624917159</v>
      </c>
      <c r="H1732" s="9">
        <v>10352</v>
      </c>
    </row>
    <row r="1733" spans="1:8">
      <c r="A1733">
        <f t="shared" si="78"/>
        <v>1.7102355677838901E-6</v>
      </c>
      <c r="B1733" s="9">
        <v>1.7102355677838901</v>
      </c>
      <c r="C1733">
        <f t="shared" si="79"/>
        <v>175293072865084.16</v>
      </c>
      <c r="D1733">
        <f t="shared" si="80"/>
        <v>175.29307286508416</v>
      </c>
      <c r="H1733" s="9">
        <v>10352</v>
      </c>
    </row>
    <row r="1734" spans="1:8">
      <c r="A1734">
        <f t="shared" si="78"/>
        <v>1.7105634517258601E-6</v>
      </c>
      <c r="B1734" s="9">
        <v>1.7105634517258601</v>
      </c>
      <c r="C1734">
        <f t="shared" si="79"/>
        <v>175259472367147.03</v>
      </c>
      <c r="D1734">
        <f t="shared" si="80"/>
        <v>175.25947236714703</v>
      </c>
      <c r="H1734" s="9">
        <v>10352</v>
      </c>
    </row>
    <row r="1735" spans="1:8">
      <c r="A1735">
        <f t="shared" ref="A1735:A1798" si="81">B1735/1000000</f>
        <v>1.71089133566783E-6</v>
      </c>
      <c r="B1735" s="9">
        <v>1.7108913356678299</v>
      </c>
      <c r="C1735">
        <f t="shared" ref="C1735:C1798" si="82">wavelength_to_freq(B1735)</f>
        <v>175225884747951.53</v>
      </c>
      <c r="D1735">
        <f t="shared" ref="D1735:D1798" si="83">C1735/1000000000000</f>
        <v>175.22588474795154</v>
      </c>
      <c r="H1735" s="9">
        <v>10352</v>
      </c>
    </row>
    <row r="1736" spans="1:8">
      <c r="A1736">
        <f t="shared" si="81"/>
        <v>1.7112192196097999E-6</v>
      </c>
      <c r="B1736" s="9">
        <v>1.7112192196097999</v>
      </c>
      <c r="C1736">
        <f t="shared" si="82"/>
        <v>175192310000094.59</v>
      </c>
      <c r="D1736">
        <f t="shared" si="83"/>
        <v>175.19231000009461</v>
      </c>
      <c r="H1736" s="9">
        <v>10352</v>
      </c>
    </row>
    <row r="1737" spans="1:8">
      <c r="A1737">
        <f t="shared" si="81"/>
        <v>1.71154710355178E-6</v>
      </c>
      <c r="B1737" s="9">
        <v>1.71154710355178</v>
      </c>
      <c r="C1737">
        <f t="shared" si="82"/>
        <v>175158748116177.84</v>
      </c>
      <c r="D1737">
        <f t="shared" si="83"/>
        <v>175.15874811617783</v>
      </c>
      <c r="H1737" s="9">
        <v>10352</v>
      </c>
    </row>
    <row r="1738" spans="1:8">
      <c r="A1738">
        <f t="shared" si="81"/>
        <v>1.71187498749375E-6</v>
      </c>
      <c r="B1738" s="9">
        <v>1.71187498749375</v>
      </c>
      <c r="C1738">
        <f t="shared" si="82"/>
        <v>175125199088811.69</v>
      </c>
      <c r="D1738">
        <f t="shared" si="83"/>
        <v>175.12519908881168</v>
      </c>
      <c r="H1738" s="9">
        <v>10352</v>
      </c>
    </row>
    <row r="1739" spans="1:8">
      <c r="A1739">
        <f t="shared" si="81"/>
        <v>1.7122028714357201E-6</v>
      </c>
      <c r="B1739" s="9">
        <v>1.71220287143572</v>
      </c>
      <c r="C1739">
        <f t="shared" si="82"/>
        <v>175091662910609.06</v>
      </c>
      <c r="D1739">
        <f t="shared" si="83"/>
        <v>175.09166291060907</v>
      </c>
      <c r="H1739" s="9">
        <v>10352</v>
      </c>
    </row>
    <row r="1740" spans="1:8">
      <c r="A1740">
        <f t="shared" si="81"/>
        <v>1.7125307553776901E-6</v>
      </c>
      <c r="B1740" s="9">
        <v>1.7125307553776901</v>
      </c>
      <c r="C1740">
        <f t="shared" si="82"/>
        <v>175058139574189.59</v>
      </c>
      <c r="D1740">
        <f t="shared" si="83"/>
        <v>175.0581395741896</v>
      </c>
      <c r="H1740" s="9">
        <v>10241</v>
      </c>
    </row>
    <row r="1741" spans="1:8">
      <c r="A1741">
        <f t="shared" si="81"/>
        <v>1.71285863931966E-6</v>
      </c>
      <c r="B1741" s="9">
        <v>1.7128586393196601</v>
      </c>
      <c r="C1741">
        <f t="shared" si="82"/>
        <v>175024629072178.56</v>
      </c>
      <c r="D1741">
        <f t="shared" si="83"/>
        <v>175.02462907217856</v>
      </c>
      <c r="H1741" s="9">
        <v>10241</v>
      </c>
    </row>
    <row r="1742" spans="1:8">
      <c r="A1742">
        <f t="shared" si="81"/>
        <v>1.7131865232616299E-6</v>
      </c>
      <c r="B1742" s="9">
        <v>1.7131865232616299</v>
      </c>
      <c r="C1742">
        <f t="shared" si="82"/>
        <v>174991131397206.94</v>
      </c>
      <c r="D1742">
        <f t="shared" si="83"/>
        <v>174.99113139720694</v>
      </c>
      <c r="H1742" s="9">
        <v>10241</v>
      </c>
    </row>
    <row r="1743" spans="1:8">
      <c r="A1743">
        <f t="shared" si="81"/>
        <v>1.7135144072035999E-6</v>
      </c>
      <c r="B1743" s="9">
        <v>1.7135144072035999</v>
      </c>
      <c r="C1743">
        <f t="shared" si="82"/>
        <v>174957646541911.25</v>
      </c>
      <c r="D1743">
        <f t="shared" si="83"/>
        <v>174.95764654191126</v>
      </c>
      <c r="H1743" s="9">
        <v>10241</v>
      </c>
    </row>
    <row r="1744" spans="1:8">
      <c r="A1744">
        <f t="shared" si="81"/>
        <v>1.71384229114557E-6</v>
      </c>
      <c r="B1744" s="9">
        <v>1.71384229114557</v>
      </c>
      <c r="C1744">
        <f t="shared" si="82"/>
        <v>174924174498933.69</v>
      </c>
      <c r="D1744">
        <f t="shared" si="83"/>
        <v>174.9241744989337</v>
      </c>
      <c r="H1744" s="9">
        <v>10201</v>
      </c>
    </row>
    <row r="1745" spans="1:8">
      <c r="A1745">
        <f t="shared" si="81"/>
        <v>1.71417017508754E-6</v>
      </c>
      <c r="B1745" s="9">
        <v>1.71417017508754</v>
      </c>
      <c r="C1745">
        <f t="shared" si="82"/>
        <v>174890715260922.12</v>
      </c>
      <c r="D1745">
        <f t="shared" si="83"/>
        <v>174.89071526092212</v>
      </c>
      <c r="H1745" s="9">
        <v>10201</v>
      </c>
    </row>
    <row r="1746" spans="1:8">
      <c r="A1746">
        <f t="shared" si="81"/>
        <v>1.7144980590295101E-6</v>
      </c>
      <c r="B1746" s="9">
        <v>1.71449805902951</v>
      </c>
      <c r="C1746">
        <f t="shared" si="82"/>
        <v>174857268820530.03</v>
      </c>
      <c r="D1746">
        <f t="shared" si="83"/>
        <v>174.85726882053004</v>
      </c>
      <c r="H1746" s="9">
        <v>10201</v>
      </c>
    </row>
    <row r="1747" spans="1:8">
      <c r="A1747">
        <f t="shared" si="81"/>
        <v>1.71482594297149E-6</v>
      </c>
      <c r="B1747" s="9">
        <v>1.71482594297149</v>
      </c>
      <c r="C1747">
        <f t="shared" si="82"/>
        <v>174823835170415.44</v>
      </c>
      <c r="D1747">
        <f t="shared" si="83"/>
        <v>174.82383517041544</v>
      </c>
      <c r="H1747" s="9">
        <v>10201</v>
      </c>
    </row>
    <row r="1748" spans="1:8">
      <c r="A1748">
        <f t="shared" si="81"/>
        <v>1.7151538269134601E-6</v>
      </c>
      <c r="B1748" s="9">
        <v>1.7151538269134601</v>
      </c>
      <c r="C1748">
        <f t="shared" si="82"/>
        <v>174790414303245.09</v>
      </c>
      <c r="D1748">
        <f t="shared" si="83"/>
        <v>174.79041430324509</v>
      </c>
      <c r="H1748" s="9">
        <v>10201</v>
      </c>
    </row>
    <row r="1749" spans="1:8">
      <c r="A1749">
        <f t="shared" si="81"/>
        <v>1.7154817108554301E-6</v>
      </c>
      <c r="B1749" s="9">
        <v>1.7154817108554301</v>
      </c>
      <c r="C1749">
        <f t="shared" si="82"/>
        <v>174757006211688.25</v>
      </c>
      <c r="D1749">
        <f t="shared" si="83"/>
        <v>174.75700621168826</v>
      </c>
      <c r="H1749" s="9">
        <v>10201</v>
      </c>
    </row>
    <row r="1750" spans="1:8">
      <c r="A1750">
        <f t="shared" si="81"/>
        <v>1.7158095947974E-6</v>
      </c>
      <c r="B1750" s="9">
        <v>1.7158095947973999</v>
      </c>
      <c r="C1750">
        <f t="shared" si="82"/>
        <v>174723610888420.87</v>
      </c>
      <c r="D1750">
        <f t="shared" si="83"/>
        <v>174.72361088842086</v>
      </c>
      <c r="H1750" s="9">
        <v>10183</v>
      </c>
    </row>
    <row r="1751" spans="1:8">
      <c r="A1751">
        <f t="shared" si="81"/>
        <v>1.7161374787393699E-6</v>
      </c>
      <c r="B1751" s="9">
        <v>1.7161374787393699</v>
      </c>
      <c r="C1751">
        <f t="shared" si="82"/>
        <v>174690228326124.41</v>
      </c>
      <c r="D1751">
        <f t="shared" si="83"/>
        <v>174.69022832612441</v>
      </c>
      <c r="H1751" s="9">
        <v>10183</v>
      </c>
    </row>
    <row r="1752" spans="1:8">
      <c r="A1752">
        <f t="shared" si="81"/>
        <v>1.7164653626813399E-6</v>
      </c>
      <c r="B1752" s="9">
        <v>1.71646536268134</v>
      </c>
      <c r="C1752">
        <f t="shared" si="82"/>
        <v>174656858517485.94</v>
      </c>
      <c r="D1752">
        <f t="shared" si="83"/>
        <v>174.65685851748594</v>
      </c>
      <c r="H1752" s="9">
        <v>10183</v>
      </c>
    </row>
    <row r="1753" spans="1:8">
      <c r="A1753">
        <f t="shared" si="81"/>
        <v>1.71679324662331E-6</v>
      </c>
      <c r="B1753" s="9">
        <v>1.71679324662331</v>
      </c>
      <c r="C1753">
        <f t="shared" si="82"/>
        <v>174623501455198.19</v>
      </c>
      <c r="D1753">
        <f t="shared" si="83"/>
        <v>174.62350145519818</v>
      </c>
      <c r="H1753" s="9">
        <v>10183</v>
      </c>
    </row>
    <row r="1754" spans="1:8">
      <c r="A1754">
        <f t="shared" si="81"/>
        <v>1.71712113056528E-6</v>
      </c>
      <c r="B1754" s="9">
        <v>1.71712113056528</v>
      </c>
      <c r="C1754">
        <f t="shared" si="82"/>
        <v>174590157131959.41</v>
      </c>
      <c r="D1754">
        <f t="shared" si="83"/>
        <v>174.59015713195942</v>
      </c>
      <c r="H1754" s="9">
        <v>10183</v>
      </c>
    </row>
    <row r="1755" spans="1:8">
      <c r="A1755">
        <f t="shared" si="81"/>
        <v>1.7174490145072501E-6</v>
      </c>
      <c r="B1755" s="9">
        <v>1.7174490145072501</v>
      </c>
      <c r="C1755">
        <f t="shared" si="82"/>
        <v>174556825540473.37</v>
      </c>
      <c r="D1755">
        <f t="shared" si="83"/>
        <v>174.55682554047337</v>
      </c>
      <c r="H1755" s="9">
        <v>10183</v>
      </c>
    </row>
    <row r="1756" spans="1:8">
      <c r="A1756">
        <f t="shared" si="81"/>
        <v>1.71777689844922E-6</v>
      </c>
      <c r="B1756" s="9">
        <v>1.7177768984492201</v>
      </c>
      <c r="C1756">
        <f t="shared" si="82"/>
        <v>174523506673449.59</v>
      </c>
      <c r="D1756">
        <f t="shared" si="83"/>
        <v>174.52350667344959</v>
      </c>
      <c r="H1756" s="9">
        <v>10183</v>
      </c>
    </row>
    <row r="1757" spans="1:8">
      <c r="A1757">
        <f t="shared" si="81"/>
        <v>1.7181047823911999E-6</v>
      </c>
      <c r="B1757" s="9">
        <v>1.7181047823911999</v>
      </c>
      <c r="C1757">
        <f t="shared" si="82"/>
        <v>174490200523601.97</v>
      </c>
      <c r="D1757">
        <f t="shared" si="83"/>
        <v>174.49020052360197</v>
      </c>
      <c r="H1757" s="9">
        <v>10183</v>
      </c>
    </row>
    <row r="1758" spans="1:8">
      <c r="A1758">
        <f t="shared" si="81"/>
        <v>1.7184326663331699E-6</v>
      </c>
      <c r="B1758" s="9">
        <v>1.7184326663331699</v>
      </c>
      <c r="C1758">
        <f t="shared" si="82"/>
        <v>174456907083653.06</v>
      </c>
      <c r="D1758">
        <f t="shared" si="83"/>
        <v>174.45690708365305</v>
      </c>
      <c r="H1758" s="9">
        <v>10183</v>
      </c>
    </row>
    <row r="1759" spans="1:8">
      <c r="A1759">
        <f t="shared" si="81"/>
        <v>1.71876055027514E-6</v>
      </c>
      <c r="B1759" s="9">
        <v>1.71876055027514</v>
      </c>
      <c r="C1759">
        <f t="shared" si="82"/>
        <v>174423626346327.94</v>
      </c>
      <c r="D1759">
        <f t="shared" si="83"/>
        <v>174.42362634632795</v>
      </c>
      <c r="H1759" s="9">
        <v>10183</v>
      </c>
    </row>
    <row r="1760" spans="1:8">
      <c r="A1760">
        <f t="shared" si="81"/>
        <v>1.71908843421711E-6</v>
      </c>
      <c r="B1760" s="9">
        <v>1.71908843421711</v>
      </c>
      <c r="C1760">
        <f t="shared" si="82"/>
        <v>174390358304358.25</v>
      </c>
      <c r="D1760">
        <f t="shared" si="83"/>
        <v>174.39035830435824</v>
      </c>
      <c r="H1760" s="9">
        <v>10183</v>
      </c>
    </row>
    <row r="1761" spans="1:8">
      <c r="A1761">
        <f t="shared" si="81"/>
        <v>1.7194163181590801E-6</v>
      </c>
      <c r="B1761" s="9">
        <v>1.71941631815908</v>
      </c>
      <c r="C1761">
        <f t="shared" si="82"/>
        <v>174357102950481.16</v>
      </c>
      <c r="D1761">
        <f t="shared" si="83"/>
        <v>174.35710295048116</v>
      </c>
      <c r="H1761" s="9">
        <v>10183</v>
      </c>
    </row>
    <row r="1762" spans="1:8">
      <c r="A1762">
        <f t="shared" si="81"/>
        <v>1.71974420210105E-6</v>
      </c>
      <c r="B1762" s="9">
        <v>1.7197442021010501</v>
      </c>
      <c r="C1762">
        <f t="shared" si="82"/>
        <v>174323860277439.44</v>
      </c>
      <c r="D1762">
        <f t="shared" si="83"/>
        <v>174.32386027743945</v>
      </c>
      <c r="H1762" s="9">
        <v>10145</v>
      </c>
    </row>
    <row r="1763" spans="1:8">
      <c r="A1763">
        <f t="shared" si="81"/>
        <v>1.7200720860430202E-6</v>
      </c>
      <c r="B1763" s="9">
        <v>1.7200720860430201</v>
      </c>
      <c r="C1763">
        <f t="shared" si="82"/>
        <v>174290630277981.28</v>
      </c>
      <c r="D1763">
        <f t="shared" si="83"/>
        <v>174.29063027798128</v>
      </c>
      <c r="H1763" s="9">
        <v>10145</v>
      </c>
    </row>
    <row r="1764" spans="1:8">
      <c r="A1764">
        <f t="shared" si="81"/>
        <v>1.7203999699849899E-6</v>
      </c>
      <c r="B1764" s="9">
        <v>1.7203999699849899</v>
      </c>
      <c r="C1764">
        <f t="shared" si="82"/>
        <v>174257412944860.5</v>
      </c>
      <c r="D1764">
        <f t="shared" si="83"/>
        <v>174.2574129448605</v>
      </c>
      <c r="H1764" s="9">
        <v>10145</v>
      </c>
    </row>
    <row r="1765" spans="1:8">
      <c r="A1765">
        <f t="shared" si="81"/>
        <v>1.7207278539269598E-6</v>
      </c>
      <c r="B1765" s="9">
        <v>1.7207278539269599</v>
      </c>
      <c r="C1765">
        <f t="shared" si="82"/>
        <v>174224208270836.37</v>
      </c>
      <c r="D1765">
        <f t="shared" si="83"/>
        <v>174.22420827083639</v>
      </c>
      <c r="H1765" s="9">
        <v>10145</v>
      </c>
    </row>
    <row r="1766" spans="1:8">
      <c r="A1766">
        <f t="shared" si="81"/>
        <v>1.72105573786893E-6</v>
      </c>
      <c r="B1766" s="9">
        <v>1.72105573786893</v>
      </c>
      <c r="C1766">
        <f t="shared" si="82"/>
        <v>174191016248673.78</v>
      </c>
      <c r="D1766">
        <f t="shared" si="83"/>
        <v>174.19101624867378</v>
      </c>
      <c r="H1766" s="9">
        <v>10145</v>
      </c>
    </row>
    <row r="1767" spans="1:8">
      <c r="A1767">
        <f t="shared" si="81"/>
        <v>1.7213836218109099E-6</v>
      </c>
      <c r="B1767" s="9">
        <v>1.72138362181091</v>
      </c>
      <c r="C1767">
        <f t="shared" si="82"/>
        <v>174157836871141.97</v>
      </c>
      <c r="D1767">
        <f t="shared" si="83"/>
        <v>174.15783687114197</v>
      </c>
      <c r="H1767" s="9">
        <v>10145</v>
      </c>
    </row>
    <row r="1768" spans="1:8">
      <c r="A1768">
        <f t="shared" si="81"/>
        <v>1.72171150575288E-6</v>
      </c>
      <c r="B1768" s="9">
        <v>1.72171150575288</v>
      </c>
      <c r="C1768">
        <f t="shared" si="82"/>
        <v>174124670131018.84</v>
      </c>
      <c r="D1768">
        <f t="shared" si="83"/>
        <v>174.12467013101883</v>
      </c>
      <c r="H1768" s="9">
        <v>10145</v>
      </c>
    </row>
    <row r="1769" spans="1:8">
      <c r="A1769">
        <f t="shared" si="81"/>
        <v>1.72203938969485E-6</v>
      </c>
      <c r="B1769" s="9">
        <v>1.72203938969485</v>
      </c>
      <c r="C1769">
        <f t="shared" si="82"/>
        <v>174091516021084.75</v>
      </c>
      <c r="D1769">
        <f t="shared" si="83"/>
        <v>174.09151602108474</v>
      </c>
      <c r="H1769" s="9">
        <v>10145</v>
      </c>
    </row>
    <row r="1770" spans="1:8">
      <c r="A1770">
        <f t="shared" si="81"/>
        <v>1.7223672736368201E-6</v>
      </c>
      <c r="B1770" s="9">
        <v>1.7223672736368201</v>
      </c>
      <c r="C1770">
        <f t="shared" si="82"/>
        <v>174058374534126.53</v>
      </c>
      <c r="D1770">
        <f t="shared" si="83"/>
        <v>174.05837453412653</v>
      </c>
      <c r="H1770" s="9">
        <v>10145</v>
      </c>
    </row>
    <row r="1771" spans="1:8">
      <c r="A1771">
        <f t="shared" si="81"/>
        <v>1.72269515757879E-6</v>
      </c>
      <c r="B1771" s="9">
        <v>1.7226951575787901</v>
      </c>
      <c r="C1771">
        <f t="shared" si="82"/>
        <v>174025245662936.47</v>
      </c>
      <c r="D1771">
        <f t="shared" si="83"/>
        <v>174.02524566293647</v>
      </c>
      <c r="H1771" s="9">
        <v>10145</v>
      </c>
    </row>
    <row r="1772" spans="1:8">
      <c r="A1772">
        <f t="shared" si="81"/>
        <v>1.72302304152076E-6</v>
      </c>
      <c r="B1772" s="9">
        <v>1.7230230415207599</v>
      </c>
      <c r="C1772">
        <f t="shared" si="82"/>
        <v>173992129400312.47</v>
      </c>
      <c r="D1772">
        <f t="shared" si="83"/>
        <v>173.99212940031248</v>
      </c>
      <c r="H1772" s="9">
        <v>10036</v>
      </c>
    </row>
    <row r="1773" spans="1:8">
      <c r="A1773">
        <f t="shared" si="81"/>
        <v>1.7233509254627299E-6</v>
      </c>
      <c r="B1773" s="9">
        <v>1.7233509254627299</v>
      </c>
      <c r="C1773">
        <f t="shared" si="82"/>
        <v>173959025739057.72</v>
      </c>
      <c r="D1773">
        <f t="shared" si="83"/>
        <v>173.95902573905772</v>
      </c>
      <c r="H1773" s="9">
        <v>10036</v>
      </c>
    </row>
    <row r="1774" spans="1:8">
      <c r="A1774">
        <f t="shared" si="81"/>
        <v>1.7236788094047001E-6</v>
      </c>
      <c r="B1774" s="9">
        <v>1.7236788094047</v>
      </c>
      <c r="C1774">
        <f t="shared" si="82"/>
        <v>173925934671981.09</v>
      </c>
      <c r="D1774">
        <f t="shared" si="83"/>
        <v>173.92593467198108</v>
      </c>
      <c r="H1774" s="9">
        <v>10036</v>
      </c>
    </row>
    <row r="1775" spans="1:8">
      <c r="A1775">
        <f t="shared" si="81"/>
        <v>1.72400669334667E-6</v>
      </c>
      <c r="B1775" s="9">
        <v>1.72400669334667</v>
      </c>
      <c r="C1775">
        <f t="shared" si="82"/>
        <v>173892856191896.78</v>
      </c>
      <c r="D1775">
        <f t="shared" si="83"/>
        <v>173.89285619189678</v>
      </c>
      <c r="H1775" s="9">
        <v>10036</v>
      </c>
    </row>
    <row r="1776" spans="1:8">
      <c r="A1776">
        <f t="shared" si="81"/>
        <v>1.7243345772886399E-6</v>
      </c>
      <c r="B1776" s="9">
        <v>1.72433457728864</v>
      </c>
      <c r="C1776">
        <f t="shared" si="82"/>
        <v>173859790291624.53</v>
      </c>
      <c r="D1776">
        <f t="shared" si="83"/>
        <v>173.85979029162453</v>
      </c>
      <c r="H1776" s="9">
        <v>10036</v>
      </c>
    </row>
    <row r="1777" spans="1:8">
      <c r="A1777">
        <f t="shared" si="81"/>
        <v>1.72466246123062E-6</v>
      </c>
      <c r="B1777" s="9">
        <v>1.7246624612306201</v>
      </c>
      <c r="C1777">
        <f t="shared" si="82"/>
        <v>173826736963988.5</v>
      </c>
      <c r="D1777">
        <f t="shared" si="83"/>
        <v>173.82673696398851</v>
      </c>
      <c r="H1777" s="9">
        <v>10036</v>
      </c>
    </row>
    <row r="1778" spans="1:8">
      <c r="A1778">
        <f t="shared" si="81"/>
        <v>1.7249903451725902E-6</v>
      </c>
      <c r="B1778" s="9">
        <v>1.7249903451725901</v>
      </c>
      <c r="C1778">
        <f t="shared" si="82"/>
        <v>173793696201821.31</v>
      </c>
      <c r="D1778">
        <f t="shared" si="83"/>
        <v>173.79369620182132</v>
      </c>
      <c r="H1778" s="9">
        <v>10036</v>
      </c>
    </row>
    <row r="1779" spans="1:8">
      <c r="A1779">
        <f t="shared" si="81"/>
        <v>1.7253182291145599E-6</v>
      </c>
      <c r="B1779" s="9">
        <v>1.7253182291145599</v>
      </c>
      <c r="C1779">
        <f t="shared" si="82"/>
        <v>173760667997958.06</v>
      </c>
      <c r="D1779">
        <f t="shared" si="83"/>
        <v>173.76066799795805</v>
      </c>
      <c r="H1779" s="9">
        <v>10036</v>
      </c>
    </row>
    <row r="1780" spans="1:8">
      <c r="A1780">
        <f t="shared" si="81"/>
        <v>1.7256461130565298E-6</v>
      </c>
      <c r="B1780" s="9">
        <v>1.7256461130565299</v>
      </c>
      <c r="C1780">
        <f t="shared" si="82"/>
        <v>173727652345240.25</v>
      </c>
      <c r="D1780">
        <f t="shared" si="83"/>
        <v>173.72765234524024</v>
      </c>
      <c r="H1780" s="9">
        <v>10036</v>
      </c>
    </row>
    <row r="1781" spans="1:8">
      <c r="A1781">
        <f t="shared" si="81"/>
        <v>1.7259739969985E-6</v>
      </c>
      <c r="B1781" s="9">
        <v>1.7259739969985</v>
      </c>
      <c r="C1781">
        <f t="shared" si="82"/>
        <v>173694649236514.84</v>
      </c>
      <c r="D1781">
        <f t="shared" si="83"/>
        <v>173.69464923651483</v>
      </c>
      <c r="H1781" s="9">
        <v>10014</v>
      </c>
    </row>
    <row r="1782" spans="1:8">
      <c r="A1782">
        <f t="shared" si="81"/>
        <v>1.7263018809404699E-6</v>
      </c>
      <c r="B1782" s="9">
        <v>1.72630188094047</v>
      </c>
      <c r="C1782">
        <f t="shared" si="82"/>
        <v>173661658664634.25</v>
      </c>
      <c r="D1782">
        <f t="shared" si="83"/>
        <v>173.66165866463425</v>
      </c>
      <c r="H1782" s="9">
        <v>10014</v>
      </c>
    </row>
    <row r="1783" spans="1:8">
      <c r="A1783">
        <f t="shared" si="81"/>
        <v>1.7266297648824401E-6</v>
      </c>
      <c r="B1783" s="9">
        <v>1.72662976488244</v>
      </c>
      <c r="C1783">
        <f t="shared" si="82"/>
        <v>173628680622456.31</v>
      </c>
      <c r="D1783">
        <f t="shared" si="83"/>
        <v>173.6286806224563</v>
      </c>
      <c r="H1783" s="9">
        <v>10014</v>
      </c>
    </row>
    <row r="1784" spans="1:8">
      <c r="A1784">
        <f t="shared" si="81"/>
        <v>1.72695764882441E-6</v>
      </c>
      <c r="B1784" s="9">
        <v>1.7269576488244101</v>
      </c>
      <c r="C1784">
        <f t="shared" si="82"/>
        <v>173595715102844.22</v>
      </c>
      <c r="D1784">
        <f t="shared" si="83"/>
        <v>173.59571510284422</v>
      </c>
      <c r="H1784" s="9">
        <v>10014</v>
      </c>
    </row>
    <row r="1785" spans="1:8">
      <c r="A1785">
        <f t="shared" si="81"/>
        <v>1.7272855327663802E-6</v>
      </c>
      <c r="B1785" s="9">
        <v>1.7272855327663801</v>
      </c>
      <c r="C1785">
        <f t="shared" si="82"/>
        <v>173562762098666.72</v>
      </c>
      <c r="D1785">
        <f t="shared" si="83"/>
        <v>173.56276209866672</v>
      </c>
      <c r="H1785" s="9">
        <v>10014</v>
      </c>
    </row>
    <row r="1786" spans="1:8">
      <c r="A1786">
        <f t="shared" si="81"/>
        <v>1.7276134167083499E-6</v>
      </c>
      <c r="B1786" s="9">
        <v>1.7276134167083499</v>
      </c>
      <c r="C1786">
        <f t="shared" si="82"/>
        <v>173529821602797.84</v>
      </c>
      <c r="D1786">
        <f t="shared" si="83"/>
        <v>173.52982160279785</v>
      </c>
      <c r="H1786" s="9">
        <v>10014</v>
      </c>
    </row>
    <row r="1787" spans="1:8">
      <c r="A1787">
        <f t="shared" si="81"/>
        <v>1.72794130065033E-6</v>
      </c>
      <c r="B1787" s="9">
        <v>1.7279413006503299</v>
      </c>
      <c r="C1787">
        <f t="shared" si="82"/>
        <v>173496893608116.06</v>
      </c>
      <c r="D1787">
        <f t="shared" si="83"/>
        <v>173.49689360811607</v>
      </c>
      <c r="H1787" s="9">
        <v>10014</v>
      </c>
    </row>
    <row r="1788" spans="1:8">
      <c r="A1788">
        <f t="shared" si="81"/>
        <v>1.7282691845922999E-6</v>
      </c>
      <c r="B1788" s="9">
        <v>1.7282691845922999</v>
      </c>
      <c r="C1788">
        <f t="shared" si="82"/>
        <v>173463978107508.34</v>
      </c>
      <c r="D1788">
        <f t="shared" si="83"/>
        <v>173.46397810750835</v>
      </c>
      <c r="H1788" s="9">
        <v>10014</v>
      </c>
    </row>
    <row r="1789" spans="1:8">
      <c r="A1789">
        <f t="shared" si="81"/>
        <v>1.7285970685342701E-6</v>
      </c>
      <c r="B1789" s="9">
        <v>1.72859706853427</v>
      </c>
      <c r="C1789">
        <f t="shared" si="82"/>
        <v>173431075093863.91</v>
      </c>
      <c r="D1789">
        <f t="shared" si="83"/>
        <v>173.43107509386391</v>
      </c>
      <c r="H1789" s="9">
        <v>10014</v>
      </c>
    </row>
    <row r="1790" spans="1:8">
      <c r="A1790">
        <f t="shared" si="81"/>
        <v>1.72892495247624E-6</v>
      </c>
      <c r="B1790" s="9">
        <v>1.72892495247624</v>
      </c>
      <c r="C1790">
        <f t="shared" si="82"/>
        <v>173398184560078.5</v>
      </c>
      <c r="D1790">
        <f t="shared" si="83"/>
        <v>173.39818456007851</v>
      </c>
      <c r="H1790" s="9">
        <v>9901</v>
      </c>
    </row>
    <row r="1791" spans="1:8">
      <c r="A1791">
        <f t="shared" si="81"/>
        <v>1.7292528364182099E-6</v>
      </c>
      <c r="B1791" s="9">
        <v>1.72925283641821</v>
      </c>
      <c r="C1791">
        <f t="shared" si="82"/>
        <v>173365306499053.16</v>
      </c>
      <c r="D1791">
        <f t="shared" si="83"/>
        <v>173.36530649905316</v>
      </c>
      <c r="H1791" s="9">
        <v>9901</v>
      </c>
    </row>
    <row r="1792" spans="1:8">
      <c r="A1792">
        <f t="shared" si="81"/>
        <v>1.7295807203601801E-6</v>
      </c>
      <c r="B1792" s="9">
        <v>1.7295807203601801</v>
      </c>
      <c r="C1792">
        <f t="shared" si="82"/>
        <v>173332440903694.34</v>
      </c>
      <c r="D1792">
        <f t="shared" si="83"/>
        <v>173.33244090369433</v>
      </c>
      <c r="H1792" s="9">
        <v>9901</v>
      </c>
    </row>
    <row r="1793" spans="1:8">
      <c r="A1793">
        <f t="shared" si="81"/>
        <v>1.72990860430215E-6</v>
      </c>
      <c r="B1793" s="9">
        <v>1.7299086043021501</v>
      </c>
      <c r="C1793">
        <f t="shared" si="82"/>
        <v>173299587766913.91</v>
      </c>
      <c r="D1793">
        <f t="shared" si="83"/>
        <v>173.2995877669139</v>
      </c>
      <c r="H1793" s="9">
        <v>9901</v>
      </c>
    </row>
    <row r="1794" spans="1:8">
      <c r="A1794">
        <f t="shared" si="81"/>
        <v>1.73023648824412E-6</v>
      </c>
      <c r="B1794" s="9">
        <v>1.7302364882441199</v>
      </c>
      <c r="C1794">
        <f t="shared" si="82"/>
        <v>173266747081629.06</v>
      </c>
      <c r="D1794">
        <f t="shared" si="83"/>
        <v>173.26674708162906</v>
      </c>
      <c r="H1794" s="9">
        <v>9901</v>
      </c>
    </row>
    <row r="1795" spans="1:8">
      <c r="A1795">
        <f t="shared" si="81"/>
        <v>1.7305643721860899E-6</v>
      </c>
      <c r="B1795" s="9">
        <v>1.7305643721860899</v>
      </c>
      <c r="C1795">
        <f t="shared" si="82"/>
        <v>173233918840762.37</v>
      </c>
      <c r="D1795">
        <f t="shared" si="83"/>
        <v>173.23391884076239</v>
      </c>
      <c r="H1795" s="9">
        <v>9901</v>
      </c>
    </row>
    <row r="1796" spans="1:8">
      <c r="A1796">
        <f t="shared" si="81"/>
        <v>1.73089225612806E-6</v>
      </c>
      <c r="B1796" s="9">
        <v>1.73089225612806</v>
      </c>
      <c r="C1796">
        <f t="shared" si="82"/>
        <v>173201103037241.78</v>
      </c>
      <c r="D1796">
        <f t="shared" si="83"/>
        <v>173.20110303724178</v>
      </c>
      <c r="H1796" s="9">
        <v>9901</v>
      </c>
    </row>
    <row r="1797" spans="1:8">
      <c r="A1797">
        <f t="shared" si="81"/>
        <v>1.7312201400700399E-6</v>
      </c>
      <c r="B1797" s="9">
        <v>1.73122014007004</v>
      </c>
      <c r="C1797">
        <f t="shared" si="82"/>
        <v>173168299663999.56</v>
      </c>
      <c r="D1797">
        <f t="shared" si="83"/>
        <v>173.16829966399956</v>
      </c>
      <c r="H1797" s="9">
        <v>9901</v>
      </c>
    </row>
    <row r="1798" spans="1:8">
      <c r="A1798">
        <f t="shared" si="81"/>
        <v>1.7315480240120101E-6</v>
      </c>
      <c r="B1798" s="9">
        <v>1.73154802401201</v>
      </c>
      <c r="C1798">
        <f t="shared" si="82"/>
        <v>173135508713976.41</v>
      </c>
      <c r="D1798">
        <f t="shared" si="83"/>
        <v>173.13550871397641</v>
      </c>
      <c r="H1798" s="9">
        <v>9901</v>
      </c>
    </row>
    <row r="1799" spans="1:8">
      <c r="A1799">
        <f t="shared" ref="A1799:A1862" si="84">B1799/1000000</f>
        <v>1.73187590795398E-6</v>
      </c>
      <c r="B1799" s="9">
        <v>1.7318759079539801</v>
      </c>
      <c r="C1799">
        <f t="shared" ref="C1799:C1862" si="85">wavelength_to_freq(B1799)</f>
        <v>173102730180115.28</v>
      </c>
      <c r="D1799">
        <f t="shared" ref="D1799:D1862" si="86">C1799/1000000000000</f>
        <v>173.10273018011529</v>
      </c>
      <c r="H1799" s="9">
        <v>9901</v>
      </c>
    </row>
    <row r="1800" spans="1:8">
      <c r="A1800">
        <f t="shared" si="84"/>
        <v>1.7322037918959502E-6</v>
      </c>
      <c r="B1800" s="9">
        <v>1.7322037918959501</v>
      </c>
      <c r="C1800">
        <f t="shared" si="85"/>
        <v>173069964055365.56</v>
      </c>
      <c r="D1800">
        <f t="shared" si="86"/>
        <v>173.06996405536557</v>
      </c>
      <c r="H1800" s="9">
        <v>9901</v>
      </c>
    </row>
    <row r="1801" spans="1:8">
      <c r="A1801">
        <f t="shared" si="84"/>
        <v>1.7325316758379199E-6</v>
      </c>
      <c r="B1801" s="9">
        <v>1.7325316758379199</v>
      </c>
      <c r="C1801">
        <f t="shared" si="85"/>
        <v>173037210332681.91</v>
      </c>
      <c r="D1801">
        <f t="shared" si="86"/>
        <v>173.03721033268189</v>
      </c>
      <c r="H1801" s="9">
        <v>9901</v>
      </c>
    </row>
    <row r="1802" spans="1:8">
      <c r="A1802">
        <f t="shared" si="84"/>
        <v>1.7328595597798898E-6</v>
      </c>
      <c r="B1802" s="9">
        <v>1.7328595597798899</v>
      </c>
      <c r="C1802">
        <f t="shared" si="85"/>
        <v>173004469005024.28</v>
      </c>
      <c r="D1802">
        <f t="shared" si="86"/>
        <v>173.00446900502428</v>
      </c>
      <c r="H1802" s="9">
        <v>9879</v>
      </c>
    </row>
    <row r="1803" spans="1:8">
      <c r="A1803">
        <f t="shared" si="84"/>
        <v>1.73318744372186E-6</v>
      </c>
      <c r="B1803" s="9">
        <v>1.73318744372186</v>
      </c>
      <c r="C1803">
        <f t="shared" si="85"/>
        <v>172971740065358.09</v>
      </c>
      <c r="D1803">
        <f t="shared" si="86"/>
        <v>172.97174006535809</v>
      </c>
      <c r="H1803" s="9">
        <v>9879</v>
      </c>
    </row>
    <row r="1804" spans="1:8">
      <c r="A1804">
        <f t="shared" si="84"/>
        <v>1.7335153276638299E-6</v>
      </c>
      <c r="B1804" s="9">
        <v>1.73351532766383</v>
      </c>
      <c r="C1804">
        <f t="shared" si="85"/>
        <v>172939023506653.94</v>
      </c>
      <c r="D1804">
        <f t="shared" si="86"/>
        <v>172.93902350665394</v>
      </c>
      <c r="H1804" s="9">
        <v>9879</v>
      </c>
    </row>
    <row r="1805" spans="1:8">
      <c r="A1805">
        <f t="shared" si="84"/>
        <v>1.7338432116058E-6</v>
      </c>
      <c r="B1805" s="9">
        <v>1.7338432116058</v>
      </c>
      <c r="C1805">
        <f t="shared" si="85"/>
        <v>172906319321887.84</v>
      </c>
      <c r="D1805">
        <f t="shared" si="86"/>
        <v>172.90631932188785</v>
      </c>
      <c r="H1805" s="9">
        <v>9879</v>
      </c>
    </row>
    <row r="1806" spans="1:8">
      <c r="A1806">
        <f t="shared" si="84"/>
        <v>1.73417109554777E-6</v>
      </c>
      <c r="B1806" s="9">
        <v>1.73417109554777</v>
      </c>
      <c r="C1806">
        <f t="shared" si="85"/>
        <v>172873627504041.06</v>
      </c>
      <c r="D1806">
        <f t="shared" si="86"/>
        <v>172.87362750404105</v>
      </c>
      <c r="H1806" s="9">
        <v>9879</v>
      </c>
    </row>
    <row r="1807" spans="1:8">
      <c r="A1807">
        <f t="shared" si="84"/>
        <v>1.7344989794897401E-6</v>
      </c>
      <c r="B1807" s="9">
        <v>1.7344989794897401</v>
      </c>
      <c r="C1807">
        <f t="shared" si="85"/>
        <v>172840948046100.22</v>
      </c>
      <c r="D1807">
        <f t="shared" si="86"/>
        <v>172.84094804610021</v>
      </c>
      <c r="H1807" s="9">
        <v>9879</v>
      </c>
    </row>
    <row r="1808" spans="1:8">
      <c r="A1808">
        <f t="shared" si="84"/>
        <v>1.73482686343172E-6</v>
      </c>
      <c r="B1808" s="9">
        <v>1.7348268634317201</v>
      </c>
      <c r="C1808">
        <f t="shared" si="85"/>
        <v>172808280941056.19</v>
      </c>
      <c r="D1808">
        <f t="shared" si="86"/>
        <v>172.80828094105618</v>
      </c>
      <c r="H1808" s="9">
        <v>9879</v>
      </c>
    </row>
    <row r="1809" spans="1:8">
      <c r="A1809">
        <f t="shared" si="84"/>
        <v>1.73515474737369E-6</v>
      </c>
      <c r="B1809" s="9">
        <v>1.7351547473736899</v>
      </c>
      <c r="C1809">
        <f t="shared" si="85"/>
        <v>172775626181908.19</v>
      </c>
      <c r="D1809">
        <f t="shared" si="86"/>
        <v>172.77562618190819</v>
      </c>
      <c r="H1809" s="9">
        <v>9797</v>
      </c>
    </row>
    <row r="1810" spans="1:8">
      <c r="A1810">
        <f t="shared" si="84"/>
        <v>1.7354826313156599E-6</v>
      </c>
      <c r="B1810" s="9">
        <v>1.7354826313156599</v>
      </c>
      <c r="C1810">
        <f t="shared" si="85"/>
        <v>172742983761657.69</v>
      </c>
      <c r="D1810">
        <f t="shared" si="86"/>
        <v>172.74298376165768</v>
      </c>
      <c r="H1810" s="9">
        <v>9797</v>
      </c>
    </row>
    <row r="1811" spans="1:8">
      <c r="A1811">
        <f t="shared" si="84"/>
        <v>1.73581051525763E-6</v>
      </c>
      <c r="B1811" s="9">
        <v>1.73581051525763</v>
      </c>
      <c r="C1811">
        <f t="shared" si="85"/>
        <v>172710353673312.47</v>
      </c>
      <c r="D1811">
        <f t="shared" si="86"/>
        <v>172.71035367331248</v>
      </c>
      <c r="H1811" s="9">
        <v>9797</v>
      </c>
    </row>
    <row r="1812" spans="1:8">
      <c r="A1812">
        <f t="shared" si="84"/>
        <v>1.7361383991996E-6</v>
      </c>
      <c r="B1812" s="9">
        <v>1.7361383991996</v>
      </c>
      <c r="C1812">
        <f t="shared" si="85"/>
        <v>172677735909885.56</v>
      </c>
      <c r="D1812">
        <f t="shared" si="86"/>
        <v>172.67773590988557</v>
      </c>
      <c r="H1812" s="9">
        <v>9797</v>
      </c>
    </row>
    <row r="1813" spans="1:8">
      <c r="A1813">
        <f t="shared" si="84"/>
        <v>1.7364662831415701E-6</v>
      </c>
      <c r="B1813" s="9">
        <v>1.73646628314157</v>
      </c>
      <c r="C1813">
        <f t="shared" si="85"/>
        <v>172645130464395.34</v>
      </c>
      <c r="D1813">
        <f t="shared" si="86"/>
        <v>172.64513046439535</v>
      </c>
      <c r="H1813" s="9">
        <v>9797</v>
      </c>
    </row>
    <row r="1814" spans="1:8">
      <c r="A1814">
        <f t="shared" si="84"/>
        <v>1.7367941670835401E-6</v>
      </c>
      <c r="B1814" s="9">
        <v>1.7367941670835401</v>
      </c>
      <c r="C1814">
        <f t="shared" si="85"/>
        <v>172612537329865.37</v>
      </c>
      <c r="D1814">
        <f t="shared" si="86"/>
        <v>172.61253732986538</v>
      </c>
      <c r="H1814" s="9">
        <v>9797</v>
      </c>
    </row>
    <row r="1815" spans="1:8">
      <c r="A1815">
        <f t="shared" si="84"/>
        <v>1.73712205102551E-6</v>
      </c>
      <c r="B1815" s="9">
        <v>1.7371220510255101</v>
      </c>
      <c r="C1815">
        <f t="shared" si="85"/>
        <v>172579956499324.56</v>
      </c>
      <c r="D1815">
        <f t="shared" si="86"/>
        <v>172.57995649932457</v>
      </c>
      <c r="H1815" s="9">
        <v>9797</v>
      </c>
    </row>
    <row r="1816" spans="1:8">
      <c r="A1816">
        <f t="shared" si="84"/>
        <v>1.7374499349674799E-6</v>
      </c>
      <c r="B1816" s="9">
        <v>1.7374499349674799</v>
      </c>
      <c r="C1816">
        <f t="shared" si="85"/>
        <v>172547387965807.06</v>
      </c>
      <c r="D1816">
        <f t="shared" si="86"/>
        <v>172.54738796580708</v>
      </c>
      <c r="H1816" s="9">
        <v>9797</v>
      </c>
    </row>
    <row r="1817" spans="1:8">
      <c r="A1817">
        <f t="shared" si="84"/>
        <v>1.7377778189094499E-6</v>
      </c>
      <c r="B1817" s="9">
        <v>1.7377778189094499</v>
      </c>
      <c r="C1817">
        <f t="shared" si="85"/>
        <v>172514831722352.22</v>
      </c>
      <c r="D1817">
        <f t="shared" si="86"/>
        <v>172.51483172235223</v>
      </c>
      <c r="H1817" s="9">
        <v>9797</v>
      </c>
    </row>
    <row r="1818" spans="1:8">
      <c r="A1818">
        <f t="shared" si="84"/>
        <v>1.73810570285143E-6</v>
      </c>
      <c r="B1818" s="9">
        <v>1.73810570285143</v>
      </c>
      <c r="C1818">
        <f t="shared" si="85"/>
        <v>172482287762003.69</v>
      </c>
      <c r="D1818">
        <f t="shared" si="86"/>
        <v>172.48228776200369</v>
      </c>
      <c r="H1818" s="9">
        <v>9797</v>
      </c>
    </row>
    <row r="1819" spans="1:8">
      <c r="A1819">
        <f t="shared" si="84"/>
        <v>1.7384335867933999E-6</v>
      </c>
      <c r="B1819" s="9">
        <v>1.7384335867934</v>
      </c>
      <c r="C1819">
        <f t="shared" si="85"/>
        <v>172449756077813.34</v>
      </c>
      <c r="D1819">
        <f t="shared" si="86"/>
        <v>172.44975607781333</v>
      </c>
      <c r="H1819" s="9">
        <v>9797</v>
      </c>
    </row>
    <row r="1820" spans="1:8">
      <c r="A1820">
        <f t="shared" si="84"/>
        <v>1.73876147073537E-6</v>
      </c>
      <c r="B1820" s="9">
        <v>1.73876147073537</v>
      </c>
      <c r="C1820">
        <f t="shared" si="85"/>
        <v>172417236662835.37</v>
      </c>
      <c r="D1820">
        <f t="shared" si="86"/>
        <v>172.41723666283536</v>
      </c>
      <c r="H1820" s="9">
        <v>9797</v>
      </c>
    </row>
    <row r="1821" spans="1:8">
      <c r="A1821">
        <f t="shared" si="84"/>
        <v>1.73908935467734E-6</v>
      </c>
      <c r="B1821" s="9">
        <v>1.73908935467734</v>
      </c>
      <c r="C1821">
        <f t="shared" si="85"/>
        <v>172384729510130.12</v>
      </c>
      <c r="D1821">
        <f t="shared" si="86"/>
        <v>172.38472951013011</v>
      </c>
      <c r="H1821" s="9">
        <v>9797</v>
      </c>
    </row>
    <row r="1822" spans="1:8">
      <c r="A1822">
        <f t="shared" si="84"/>
        <v>1.7394172386193101E-6</v>
      </c>
      <c r="B1822" s="9">
        <v>1.7394172386193101</v>
      </c>
      <c r="C1822">
        <f t="shared" si="85"/>
        <v>172352234612763.19</v>
      </c>
      <c r="D1822">
        <f t="shared" si="86"/>
        <v>172.3522346127632</v>
      </c>
      <c r="H1822" s="9">
        <v>9797</v>
      </c>
    </row>
    <row r="1823" spans="1:8">
      <c r="A1823">
        <f t="shared" si="84"/>
        <v>1.7397451225612801E-6</v>
      </c>
      <c r="B1823" s="9">
        <v>1.7397451225612801</v>
      </c>
      <c r="C1823">
        <f t="shared" si="85"/>
        <v>172319751963805.41</v>
      </c>
      <c r="D1823">
        <f t="shared" si="86"/>
        <v>172.3197519638054</v>
      </c>
      <c r="H1823" s="9">
        <v>9797</v>
      </c>
    </row>
    <row r="1824" spans="1:8">
      <c r="A1824">
        <f t="shared" si="84"/>
        <v>1.74007300650325E-6</v>
      </c>
      <c r="B1824" s="9">
        <v>1.7400730065032499</v>
      </c>
      <c r="C1824">
        <f t="shared" si="85"/>
        <v>172287281556332.84</v>
      </c>
      <c r="D1824">
        <f t="shared" si="86"/>
        <v>172.28728155633286</v>
      </c>
      <c r="H1824" s="9">
        <v>9797</v>
      </c>
    </row>
    <row r="1825" spans="1:8">
      <c r="A1825">
        <f t="shared" si="84"/>
        <v>1.7404008904452199E-6</v>
      </c>
      <c r="B1825" s="9">
        <v>1.74040089044522</v>
      </c>
      <c r="C1825">
        <f t="shared" si="85"/>
        <v>172254823383426.75</v>
      </c>
      <c r="D1825">
        <f t="shared" si="86"/>
        <v>172.25482338342675</v>
      </c>
      <c r="H1825" s="9">
        <v>9797</v>
      </c>
    </row>
    <row r="1826" spans="1:8">
      <c r="A1826">
        <f t="shared" si="84"/>
        <v>1.7407287743871901E-6</v>
      </c>
      <c r="B1826" s="9">
        <v>1.74072877438719</v>
      </c>
      <c r="C1826">
        <f t="shared" si="85"/>
        <v>172222377438173.62</v>
      </c>
      <c r="D1826">
        <f t="shared" si="86"/>
        <v>172.22237743817362</v>
      </c>
      <c r="H1826" s="9">
        <v>9797</v>
      </c>
    </row>
    <row r="1827" spans="1:8">
      <c r="A1827">
        <f t="shared" si="84"/>
        <v>1.74105665832916E-6</v>
      </c>
      <c r="B1827" s="9">
        <v>1.74105665832916</v>
      </c>
      <c r="C1827">
        <f t="shared" si="85"/>
        <v>172189943713665.16</v>
      </c>
      <c r="D1827">
        <f t="shared" si="86"/>
        <v>172.18994371366514</v>
      </c>
      <c r="H1827" s="9">
        <v>9797</v>
      </c>
    </row>
    <row r="1828" spans="1:8">
      <c r="A1828">
        <f t="shared" si="84"/>
        <v>1.7413845422711401E-6</v>
      </c>
      <c r="B1828" s="9">
        <v>1.74138454227114</v>
      </c>
      <c r="C1828">
        <f t="shared" si="85"/>
        <v>172157522202997.25</v>
      </c>
      <c r="D1828">
        <f t="shared" si="86"/>
        <v>172.15752220299726</v>
      </c>
      <c r="H1828" s="9">
        <v>9797</v>
      </c>
    </row>
    <row r="1829" spans="1:8">
      <c r="A1829">
        <f t="shared" si="84"/>
        <v>1.7417124262131101E-6</v>
      </c>
      <c r="B1829" s="9">
        <v>1.7417124262131101</v>
      </c>
      <c r="C1829">
        <f t="shared" si="85"/>
        <v>172125112899274</v>
      </c>
      <c r="D1829">
        <f t="shared" si="86"/>
        <v>172.125112899274</v>
      </c>
      <c r="H1829" s="9">
        <v>9797</v>
      </c>
    </row>
    <row r="1830" spans="1:8">
      <c r="A1830">
        <f t="shared" si="84"/>
        <v>1.74204031015508E-6</v>
      </c>
      <c r="B1830" s="9">
        <v>1.7420403101550801</v>
      </c>
      <c r="C1830">
        <f t="shared" si="85"/>
        <v>172092715795601.69</v>
      </c>
      <c r="D1830">
        <f t="shared" si="86"/>
        <v>172.09271579560169</v>
      </c>
      <c r="H1830" s="9">
        <v>9797</v>
      </c>
    </row>
    <row r="1831" spans="1:8">
      <c r="A1831">
        <f t="shared" si="84"/>
        <v>1.7423681940970499E-6</v>
      </c>
      <c r="B1831" s="9">
        <v>1.7423681940970499</v>
      </c>
      <c r="C1831">
        <f t="shared" si="85"/>
        <v>172060330885092.81</v>
      </c>
      <c r="D1831">
        <f t="shared" si="86"/>
        <v>172.06033088509281</v>
      </c>
      <c r="H1831" s="9">
        <v>9683</v>
      </c>
    </row>
    <row r="1832" spans="1:8">
      <c r="A1832">
        <f t="shared" si="84"/>
        <v>1.7426960780390199E-6</v>
      </c>
      <c r="B1832" s="9">
        <v>1.7426960780390199</v>
      </c>
      <c r="C1832">
        <f t="shared" si="85"/>
        <v>172027958160864.97</v>
      </c>
      <c r="D1832">
        <f t="shared" si="86"/>
        <v>172.02795816086496</v>
      </c>
      <c r="H1832" s="9">
        <v>9683</v>
      </c>
    </row>
    <row r="1833" spans="1:8">
      <c r="A1833">
        <f t="shared" si="84"/>
        <v>1.74302396198099E-6</v>
      </c>
      <c r="B1833" s="9">
        <v>1.74302396198099</v>
      </c>
      <c r="C1833">
        <f t="shared" si="85"/>
        <v>171995597616041.06</v>
      </c>
      <c r="D1833">
        <f t="shared" si="86"/>
        <v>171.99559761604107</v>
      </c>
      <c r="H1833" s="9">
        <v>9683</v>
      </c>
    </row>
    <row r="1834" spans="1:8">
      <c r="A1834">
        <f t="shared" si="84"/>
        <v>1.7433518459229599E-6</v>
      </c>
      <c r="B1834" s="9">
        <v>1.74335184592296</v>
      </c>
      <c r="C1834">
        <f t="shared" si="85"/>
        <v>171963249243749.06</v>
      </c>
      <c r="D1834">
        <f t="shared" si="86"/>
        <v>171.96324924374906</v>
      </c>
      <c r="H1834" s="9">
        <v>9683</v>
      </c>
    </row>
    <row r="1835" spans="1:8">
      <c r="A1835">
        <f t="shared" si="84"/>
        <v>1.7436797298649301E-6</v>
      </c>
      <c r="B1835" s="9">
        <v>1.74367972986493</v>
      </c>
      <c r="C1835">
        <f t="shared" si="85"/>
        <v>171930913037122.19</v>
      </c>
      <c r="D1835">
        <f t="shared" si="86"/>
        <v>171.9309130371222</v>
      </c>
      <c r="H1835" s="9">
        <v>9683</v>
      </c>
    </row>
    <row r="1836" spans="1:8">
      <c r="A1836">
        <f t="shared" si="84"/>
        <v>1.7440076138069E-6</v>
      </c>
      <c r="B1836" s="9">
        <v>1.7440076138069001</v>
      </c>
      <c r="C1836">
        <f t="shared" si="85"/>
        <v>171898588989298.75</v>
      </c>
      <c r="D1836">
        <f t="shared" si="86"/>
        <v>171.89858898929876</v>
      </c>
      <c r="H1836" s="9">
        <v>9683</v>
      </c>
    </row>
    <row r="1837" spans="1:8">
      <c r="A1837">
        <f t="shared" si="84"/>
        <v>1.7443354977488702E-6</v>
      </c>
      <c r="B1837" s="9">
        <v>1.7443354977488701</v>
      </c>
      <c r="C1837">
        <f t="shared" si="85"/>
        <v>171866277093422.28</v>
      </c>
      <c r="D1837">
        <f t="shared" si="86"/>
        <v>171.86627709342227</v>
      </c>
      <c r="H1837" s="9">
        <v>9683</v>
      </c>
    </row>
    <row r="1838" spans="1:8">
      <c r="A1838">
        <f t="shared" si="84"/>
        <v>1.7446633816908499E-6</v>
      </c>
      <c r="B1838" s="9">
        <v>1.7446633816908499</v>
      </c>
      <c r="C1838">
        <f t="shared" si="85"/>
        <v>171833977342640.47</v>
      </c>
      <c r="D1838">
        <f t="shared" si="86"/>
        <v>171.83397734264048</v>
      </c>
      <c r="H1838" s="9">
        <v>9683</v>
      </c>
    </row>
    <row r="1839" spans="1:8">
      <c r="A1839">
        <f t="shared" si="84"/>
        <v>1.74499126563282E-6</v>
      </c>
      <c r="B1839" s="9">
        <v>1.7449912656328199</v>
      </c>
      <c r="C1839">
        <f t="shared" si="85"/>
        <v>171801689730109.03</v>
      </c>
      <c r="D1839">
        <f t="shared" si="86"/>
        <v>171.80168973010902</v>
      </c>
      <c r="H1839" s="9">
        <v>9683</v>
      </c>
    </row>
    <row r="1840" spans="1:8">
      <c r="A1840">
        <f t="shared" si="84"/>
        <v>1.7453191495747899E-6</v>
      </c>
      <c r="B1840" s="9">
        <v>1.74531914957479</v>
      </c>
      <c r="C1840">
        <f t="shared" si="85"/>
        <v>171769414248985.97</v>
      </c>
      <c r="D1840">
        <f t="shared" si="86"/>
        <v>171.76941424898598</v>
      </c>
      <c r="H1840" s="9">
        <v>9683</v>
      </c>
    </row>
    <row r="1841" spans="1:8">
      <c r="A1841">
        <f t="shared" si="84"/>
        <v>1.7456470335167601E-6</v>
      </c>
      <c r="B1841" s="9">
        <v>1.74564703351676</v>
      </c>
      <c r="C1841">
        <f t="shared" si="85"/>
        <v>171737150892435.37</v>
      </c>
      <c r="D1841">
        <f t="shared" si="86"/>
        <v>171.73715089243538</v>
      </c>
      <c r="H1841" s="9">
        <v>9683</v>
      </c>
    </row>
    <row r="1842" spans="1:8">
      <c r="A1842">
        <f t="shared" si="84"/>
        <v>1.74597491745873E-6</v>
      </c>
      <c r="B1842" s="9">
        <v>1.74597491745873</v>
      </c>
      <c r="C1842">
        <f t="shared" si="85"/>
        <v>171704899653626.47</v>
      </c>
      <c r="D1842">
        <f t="shared" si="86"/>
        <v>171.70489965362646</v>
      </c>
      <c r="H1842" s="9">
        <v>9683</v>
      </c>
    </row>
    <row r="1843" spans="1:8">
      <c r="A1843">
        <f t="shared" si="84"/>
        <v>1.7463028014007E-6</v>
      </c>
      <c r="B1843" s="9">
        <v>1.7463028014007</v>
      </c>
      <c r="C1843">
        <f t="shared" si="85"/>
        <v>171672660525733.62</v>
      </c>
      <c r="D1843">
        <f t="shared" si="86"/>
        <v>171.67266052573362</v>
      </c>
      <c r="H1843" s="9">
        <v>9683</v>
      </c>
    </row>
    <row r="1844" spans="1:8">
      <c r="A1844">
        <f t="shared" si="84"/>
        <v>1.7466306853426701E-6</v>
      </c>
      <c r="B1844" s="9">
        <v>1.7466306853426701</v>
      </c>
      <c r="C1844">
        <f t="shared" si="85"/>
        <v>171640433501936.31</v>
      </c>
      <c r="D1844">
        <f t="shared" si="86"/>
        <v>171.64043350193631</v>
      </c>
      <c r="H1844" s="9">
        <v>9683</v>
      </c>
    </row>
    <row r="1845" spans="1:8">
      <c r="A1845">
        <f t="shared" si="84"/>
        <v>1.74695856928464E-6</v>
      </c>
      <c r="B1845" s="9">
        <v>1.7469585692846401</v>
      </c>
      <c r="C1845">
        <f t="shared" si="85"/>
        <v>171608218575419.12</v>
      </c>
      <c r="D1845">
        <f t="shared" si="86"/>
        <v>171.60821857541913</v>
      </c>
      <c r="H1845" s="9">
        <v>9683</v>
      </c>
    </row>
    <row r="1846" spans="1:8">
      <c r="A1846">
        <f t="shared" si="84"/>
        <v>1.74728645322661E-6</v>
      </c>
      <c r="B1846" s="9">
        <v>1.7472864532266099</v>
      </c>
      <c r="C1846">
        <f t="shared" si="85"/>
        <v>171576015739371.81</v>
      </c>
      <c r="D1846">
        <f t="shared" si="86"/>
        <v>171.57601573937183</v>
      </c>
      <c r="H1846" s="9">
        <v>9683</v>
      </c>
    </row>
    <row r="1847" spans="1:8">
      <c r="A1847">
        <f t="shared" si="84"/>
        <v>1.7476143371685799E-6</v>
      </c>
      <c r="B1847" s="9">
        <v>1.7476143371685799</v>
      </c>
      <c r="C1847">
        <f t="shared" si="85"/>
        <v>171543824986989.19</v>
      </c>
      <c r="D1847">
        <f t="shared" si="86"/>
        <v>171.54382498698919</v>
      </c>
      <c r="H1847" s="9">
        <v>9683</v>
      </c>
    </row>
    <row r="1848" spans="1:8">
      <c r="A1848">
        <f t="shared" si="84"/>
        <v>1.74794222111056E-6</v>
      </c>
      <c r="B1848" s="9">
        <v>1.74794222111056</v>
      </c>
      <c r="C1848">
        <f t="shared" si="85"/>
        <v>171511646311470.19</v>
      </c>
      <c r="D1848">
        <f t="shared" si="86"/>
        <v>171.5116463114702</v>
      </c>
      <c r="H1848" s="9">
        <v>9683</v>
      </c>
    </row>
    <row r="1849" spans="1:8">
      <c r="A1849">
        <f t="shared" si="84"/>
        <v>1.7482701050525299E-6</v>
      </c>
      <c r="B1849" s="9">
        <v>1.74827010505253</v>
      </c>
      <c r="C1849">
        <f t="shared" si="85"/>
        <v>171479479706021.84</v>
      </c>
      <c r="D1849">
        <f t="shared" si="86"/>
        <v>171.47947970602183</v>
      </c>
      <c r="H1849" s="9">
        <v>9683</v>
      </c>
    </row>
    <row r="1850" spans="1:8">
      <c r="A1850">
        <f t="shared" si="84"/>
        <v>1.7485979889945001E-6</v>
      </c>
      <c r="B1850" s="9">
        <v>1.7485979889945</v>
      </c>
      <c r="C1850">
        <f t="shared" si="85"/>
        <v>171447325163853.28</v>
      </c>
      <c r="D1850">
        <f t="shared" si="86"/>
        <v>171.44732516385329</v>
      </c>
      <c r="H1850" s="9">
        <v>9683</v>
      </c>
    </row>
    <row r="1851" spans="1:8">
      <c r="A1851">
        <f t="shared" si="84"/>
        <v>1.74892587293647E-6</v>
      </c>
      <c r="B1851" s="9">
        <v>1.7489258729364701</v>
      </c>
      <c r="C1851">
        <f t="shared" si="85"/>
        <v>171415182678179.75</v>
      </c>
      <c r="D1851">
        <f t="shared" si="86"/>
        <v>171.41518267817975</v>
      </c>
      <c r="H1851" s="9">
        <v>9683</v>
      </c>
    </row>
    <row r="1852" spans="1:8">
      <c r="A1852">
        <f t="shared" si="84"/>
        <v>1.7492537568784402E-6</v>
      </c>
      <c r="B1852" s="9">
        <v>1.7492537568784401</v>
      </c>
      <c r="C1852">
        <f t="shared" si="85"/>
        <v>171383052242221.53</v>
      </c>
      <c r="D1852">
        <f t="shared" si="86"/>
        <v>171.38305224222154</v>
      </c>
      <c r="H1852" s="9">
        <v>9683</v>
      </c>
    </row>
    <row r="1853" spans="1:8">
      <c r="A1853">
        <f t="shared" si="84"/>
        <v>1.7495816408204099E-6</v>
      </c>
      <c r="B1853" s="9">
        <v>1.7495816408204099</v>
      </c>
      <c r="C1853">
        <f t="shared" si="85"/>
        <v>171350933849204.09</v>
      </c>
      <c r="D1853">
        <f t="shared" si="86"/>
        <v>171.3509338492041</v>
      </c>
      <c r="H1853" s="9">
        <v>9683</v>
      </c>
    </row>
    <row r="1854" spans="1:8">
      <c r="A1854">
        <f t="shared" si="84"/>
        <v>1.7499095247623798E-6</v>
      </c>
      <c r="B1854" s="9">
        <v>1.7499095247623799</v>
      </c>
      <c r="C1854">
        <f t="shared" si="85"/>
        <v>171318827492357.81</v>
      </c>
      <c r="D1854">
        <f t="shared" si="86"/>
        <v>171.31882749235783</v>
      </c>
      <c r="H1854" s="9">
        <v>9683</v>
      </c>
    </row>
    <row r="1855" spans="1:8">
      <c r="A1855">
        <f t="shared" si="84"/>
        <v>1.75023740870435E-6</v>
      </c>
      <c r="B1855" s="9">
        <v>1.75023740870435</v>
      </c>
      <c r="C1855">
        <f t="shared" si="85"/>
        <v>171286733164918.28</v>
      </c>
      <c r="D1855">
        <f t="shared" si="86"/>
        <v>171.28673316491827</v>
      </c>
      <c r="H1855" s="9">
        <v>9683</v>
      </c>
    </row>
    <row r="1856" spans="1:8">
      <c r="A1856">
        <f t="shared" si="84"/>
        <v>1.7505652926463199E-6</v>
      </c>
      <c r="B1856" s="9">
        <v>1.75056529264632</v>
      </c>
      <c r="C1856">
        <f t="shared" si="85"/>
        <v>171254650860126.09</v>
      </c>
      <c r="D1856">
        <f t="shared" si="86"/>
        <v>171.25465086012611</v>
      </c>
      <c r="H1856" s="9">
        <v>9652</v>
      </c>
    </row>
    <row r="1857" spans="1:8">
      <c r="A1857">
        <f t="shared" si="84"/>
        <v>1.7508931765882901E-6</v>
      </c>
      <c r="B1857" s="9">
        <v>1.75089317658829</v>
      </c>
      <c r="C1857">
        <f t="shared" si="85"/>
        <v>171222580571226.97</v>
      </c>
      <c r="D1857">
        <f t="shared" si="86"/>
        <v>171.22258057122696</v>
      </c>
      <c r="H1857" s="9">
        <v>9652</v>
      </c>
    </row>
    <row r="1858" spans="1:8">
      <c r="A1858">
        <f t="shared" si="84"/>
        <v>1.75122106053027E-6</v>
      </c>
      <c r="B1858" s="9">
        <v>1.75122106053027</v>
      </c>
      <c r="C1858">
        <f t="shared" si="85"/>
        <v>171190522291470.62</v>
      </c>
      <c r="D1858">
        <f t="shared" si="86"/>
        <v>171.19052229147061</v>
      </c>
      <c r="H1858" s="9">
        <v>9652</v>
      </c>
    </row>
    <row r="1859" spans="1:8">
      <c r="A1859">
        <f t="shared" si="84"/>
        <v>1.7515489444722401E-6</v>
      </c>
      <c r="B1859" s="9">
        <v>1.7515489444722401</v>
      </c>
      <c r="C1859">
        <f t="shared" si="85"/>
        <v>171158476014114.81</v>
      </c>
      <c r="D1859">
        <f t="shared" si="86"/>
        <v>171.15847601411483</v>
      </c>
      <c r="H1859" s="9">
        <v>9652</v>
      </c>
    </row>
    <row r="1860" spans="1:8">
      <c r="A1860">
        <f t="shared" si="84"/>
        <v>1.75187682841421E-6</v>
      </c>
      <c r="B1860" s="9">
        <v>1.7518768284142101</v>
      </c>
      <c r="C1860">
        <f t="shared" si="85"/>
        <v>171126441732419.37</v>
      </c>
      <c r="D1860">
        <f t="shared" si="86"/>
        <v>171.12644173241938</v>
      </c>
      <c r="H1860" s="9">
        <v>9652</v>
      </c>
    </row>
    <row r="1861" spans="1:8">
      <c r="A1861">
        <f t="shared" si="84"/>
        <v>1.75220471235618E-6</v>
      </c>
      <c r="B1861" s="9">
        <v>1.7522047123561799</v>
      </c>
      <c r="C1861">
        <f t="shared" si="85"/>
        <v>171094419439650.28</v>
      </c>
      <c r="D1861">
        <f t="shared" si="86"/>
        <v>171.0944194396503</v>
      </c>
      <c r="H1861" s="9">
        <v>9652</v>
      </c>
    </row>
    <row r="1862" spans="1:8">
      <c r="A1862">
        <f t="shared" si="84"/>
        <v>1.7525325962981499E-6</v>
      </c>
      <c r="B1862" s="9">
        <v>1.7525325962981499</v>
      </c>
      <c r="C1862">
        <f t="shared" si="85"/>
        <v>171062409129078.34</v>
      </c>
      <c r="D1862">
        <f t="shared" si="86"/>
        <v>171.06240912907833</v>
      </c>
      <c r="H1862" s="9">
        <v>9652</v>
      </c>
    </row>
    <row r="1863" spans="1:8">
      <c r="A1863">
        <f t="shared" ref="A1863:A1926" si="87">B1863/1000000</f>
        <v>1.7528604802401201E-6</v>
      </c>
      <c r="B1863" s="9">
        <v>1.75286048024012</v>
      </c>
      <c r="C1863">
        <f t="shared" ref="C1863:C1926" si="88">wavelength_to_freq(B1863)</f>
        <v>171030410793979.56</v>
      </c>
      <c r="D1863">
        <f t="shared" ref="D1863:D1926" si="89">C1863/1000000000000</f>
        <v>171.03041079397957</v>
      </c>
      <c r="H1863" s="9">
        <v>9652</v>
      </c>
    </row>
    <row r="1864" spans="1:8">
      <c r="A1864">
        <f t="shared" si="87"/>
        <v>1.75318836418209E-6</v>
      </c>
      <c r="B1864" s="9">
        <v>1.75318836418209</v>
      </c>
      <c r="C1864">
        <f t="shared" si="88"/>
        <v>170998424427634.91</v>
      </c>
      <c r="D1864">
        <f t="shared" si="89"/>
        <v>170.99842442763492</v>
      </c>
      <c r="H1864" s="9">
        <v>9652</v>
      </c>
    </row>
    <row r="1865" spans="1:8">
      <c r="A1865">
        <f t="shared" si="87"/>
        <v>1.7535162481240601E-6</v>
      </c>
      <c r="B1865" s="9">
        <v>1.75351624812406</v>
      </c>
      <c r="C1865">
        <f t="shared" si="88"/>
        <v>170966450023330.44</v>
      </c>
      <c r="D1865">
        <f t="shared" si="89"/>
        <v>170.96645002333042</v>
      </c>
      <c r="H1865" s="9">
        <v>9652</v>
      </c>
    </row>
    <row r="1866" spans="1:8">
      <c r="A1866">
        <f t="shared" si="87"/>
        <v>1.7538441320660301E-6</v>
      </c>
      <c r="B1866" s="9">
        <v>1.7538441320660301</v>
      </c>
      <c r="C1866">
        <f t="shared" si="88"/>
        <v>170934487574357.12</v>
      </c>
      <c r="D1866">
        <f t="shared" si="89"/>
        <v>170.93448757435712</v>
      </c>
      <c r="H1866" s="9">
        <v>9652</v>
      </c>
    </row>
    <row r="1867" spans="1:8">
      <c r="A1867">
        <f t="shared" si="87"/>
        <v>1.754172016008E-6</v>
      </c>
      <c r="B1867" s="9">
        <v>1.7541720160080001</v>
      </c>
      <c r="C1867">
        <f t="shared" si="88"/>
        <v>170902537074011.09</v>
      </c>
      <c r="D1867">
        <f t="shared" si="89"/>
        <v>170.90253707401109</v>
      </c>
      <c r="H1867" s="9">
        <v>9652</v>
      </c>
    </row>
    <row r="1868" spans="1:8">
      <c r="A1868">
        <f t="shared" si="87"/>
        <v>1.7544998999499799E-6</v>
      </c>
      <c r="B1868" s="9">
        <v>1.7544998999499799</v>
      </c>
      <c r="C1868">
        <f t="shared" si="88"/>
        <v>170870598515592.37</v>
      </c>
      <c r="D1868">
        <f t="shared" si="89"/>
        <v>170.87059851559238</v>
      </c>
      <c r="H1868" s="9">
        <v>9652</v>
      </c>
    </row>
    <row r="1869" spans="1:8">
      <c r="A1869">
        <f t="shared" si="87"/>
        <v>1.7548277838919498E-6</v>
      </c>
      <c r="B1869" s="9">
        <v>1.7548277838919499</v>
      </c>
      <c r="C1869">
        <f t="shared" si="88"/>
        <v>170838671892408.97</v>
      </c>
      <c r="D1869">
        <f t="shared" si="89"/>
        <v>170.83867189240897</v>
      </c>
      <c r="H1869" s="9">
        <v>9652</v>
      </c>
    </row>
    <row r="1870" spans="1:8">
      <c r="A1870">
        <f t="shared" si="87"/>
        <v>1.75515566783392E-6</v>
      </c>
      <c r="B1870" s="9">
        <v>1.75515566783392</v>
      </c>
      <c r="C1870">
        <f t="shared" si="88"/>
        <v>170806757197771</v>
      </c>
      <c r="D1870">
        <f t="shared" si="89"/>
        <v>170.80675719777099</v>
      </c>
      <c r="H1870" s="9">
        <v>9652</v>
      </c>
    </row>
    <row r="1871" spans="1:8">
      <c r="A1871">
        <f t="shared" si="87"/>
        <v>1.7554835517758899E-6</v>
      </c>
      <c r="B1871" s="9">
        <v>1.75548355177589</v>
      </c>
      <c r="C1871">
        <f t="shared" si="88"/>
        <v>170774854424994.56</v>
      </c>
      <c r="D1871">
        <f t="shared" si="89"/>
        <v>170.77485442499457</v>
      </c>
      <c r="H1871" s="9">
        <v>9652</v>
      </c>
    </row>
    <row r="1872" spans="1:8">
      <c r="A1872">
        <f t="shared" si="87"/>
        <v>1.7558114357178601E-6</v>
      </c>
      <c r="B1872" s="9">
        <v>1.75581143571786</v>
      </c>
      <c r="C1872">
        <f t="shared" si="88"/>
        <v>170742963567400.66</v>
      </c>
      <c r="D1872">
        <f t="shared" si="89"/>
        <v>170.74296356740066</v>
      </c>
      <c r="H1872" s="9">
        <v>9652</v>
      </c>
    </row>
    <row r="1873" spans="1:8">
      <c r="A1873">
        <f t="shared" si="87"/>
        <v>1.75613931965983E-6</v>
      </c>
      <c r="B1873" s="9">
        <v>1.7561393196598301</v>
      </c>
      <c r="C1873">
        <f t="shared" si="88"/>
        <v>170711084618315.34</v>
      </c>
      <c r="D1873">
        <f t="shared" si="89"/>
        <v>170.71108461831534</v>
      </c>
      <c r="H1873" s="9">
        <v>9652</v>
      </c>
    </row>
    <row r="1874" spans="1:8">
      <c r="A1874">
        <f t="shared" si="87"/>
        <v>1.7564672036018002E-6</v>
      </c>
      <c r="B1874" s="9">
        <v>1.7564672036018001</v>
      </c>
      <c r="C1874">
        <f t="shared" si="88"/>
        <v>170679217571069.69</v>
      </c>
      <c r="D1874">
        <f t="shared" si="89"/>
        <v>170.6792175710697</v>
      </c>
      <c r="H1874" s="9">
        <v>9652</v>
      </c>
    </row>
    <row r="1875" spans="1:8">
      <c r="A1875">
        <f t="shared" si="87"/>
        <v>1.7567950875437699E-6</v>
      </c>
      <c r="B1875" s="9">
        <v>1.7567950875437699</v>
      </c>
      <c r="C1875">
        <f t="shared" si="88"/>
        <v>170647362418999.69</v>
      </c>
      <c r="D1875">
        <f t="shared" si="89"/>
        <v>170.64736241899968</v>
      </c>
      <c r="H1875" s="9">
        <v>9652</v>
      </c>
    </row>
    <row r="1876" spans="1:8">
      <c r="A1876">
        <f t="shared" si="87"/>
        <v>1.75712297148574E-6</v>
      </c>
      <c r="B1876" s="9">
        <v>1.7571229714857399</v>
      </c>
      <c r="C1876">
        <f t="shared" si="88"/>
        <v>170615519155446.31</v>
      </c>
      <c r="D1876">
        <f t="shared" si="89"/>
        <v>170.61551915544632</v>
      </c>
      <c r="H1876" s="9">
        <v>9652</v>
      </c>
    </row>
    <row r="1877" spans="1:8">
      <c r="A1877">
        <f t="shared" si="87"/>
        <v>1.75745085542771E-6</v>
      </c>
      <c r="B1877" s="9">
        <v>1.75745085542771</v>
      </c>
      <c r="C1877">
        <f t="shared" si="88"/>
        <v>170583687773755.5</v>
      </c>
      <c r="D1877">
        <f t="shared" si="89"/>
        <v>170.58368777375551</v>
      </c>
      <c r="H1877" s="9">
        <v>9652</v>
      </c>
    </row>
    <row r="1878" spans="1:8">
      <c r="A1878">
        <f t="shared" si="87"/>
        <v>1.7577787393696799E-6</v>
      </c>
      <c r="B1878" s="9">
        <v>1.75777873936968</v>
      </c>
      <c r="C1878">
        <f t="shared" si="88"/>
        <v>170551868267278.19</v>
      </c>
      <c r="D1878">
        <f t="shared" si="89"/>
        <v>170.55186826727819</v>
      </c>
      <c r="H1878" s="9">
        <v>9652</v>
      </c>
    </row>
    <row r="1879" spans="1:8">
      <c r="A1879">
        <f t="shared" si="87"/>
        <v>1.75810662331166E-6</v>
      </c>
      <c r="B1879" s="9">
        <v>1.75810662331166</v>
      </c>
      <c r="C1879">
        <f t="shared" si="88"/>
        <v>170520060629369.31</v>
      </c>
      <c r="D1879">
        <f t="shared" si="89"/>
        <v>170.52006062936931</v>
      </c>
      <c r="H1879" s="9">
        <v>9652</v>
      </c>
    </row>
    <row r="1880" spans="1:8">
      <c r="A1880">
        <f t="shared" si="87"/>
        <v>1.7584345072536301E-6</v>
      </c>
      <c r="B1880" s="9">
        <v>1.75843450725363</v>
      </c>
      <c r="C1880">
        <f t="shared" si="88"/>
        <v>170488264853391.59</v>
      </c>
      <c r="D1880">
        <f t="shared" si="89"/>
        <v>170.4882648533916</v>
      </c>
      <c r="H1880" s="9">
        <v>9652</v>
      </c>
    </row>
    <row r="1881" spans="1:8">
      <c r="A1881">
        <f t="shared" si="87"/>
        <v>1.7587623911956001E-6</v>
      </c>
      <c r="B1881" s="9">
        <v>1.7587623911956001</v>
      </c>
      <c r="C1881">
        <f t="shared" si="88"/>
        <v>170456480932709.84</v>
      </c>
      <c r="D1881">
        <f t="shared" si="89"/>
        <v>170.45648093270984</v>
      </c>
      <c r="H1881" s="9">
        <v>9652</v>
      </c>
    </row>
    <row r="1882" spans="1:8">
      <c r="A1882">
        <f t="shared" si="87"/>
        <v>1.75909027513757E-6</v>
      </c>
      <c r="B1882" s="9">
        <v>1.7590902751375701</v>
      </c>
      <c r="C1882">
        <f t="shared" si="88"/>
        <v>170424708860694.84</v>
      </c>
      <c r="D1882">
        <f t="shared" si="89"/>
        <v>170.42470886069484</v>
      </c>
      <c r="H1882" s="9">
        <v>9652</v>
      </c>
    </row>
    <row r="1883" spans="1:8">
      <c r="A1883">
        <f t="shared" si="87"/>
        <v>1.7594181590795399E-6</v>
      </c>
      <c r="B1883" s="9">
        <v>1.7594181590795399</v>
      </c>
      <c r="C1883">
        <f t="shared" si="88"/>
        <v>170392948630722.28</v>
      </c>
      <c r="D1883">
        <f t="shared" si="89"/>
        <v>170.39294863072229</v>
      </c>
      <c r="H1883" s="9">
        <v>9652</v>
      </c>
    </row>
    <row r="1884" spans="1:8">
      <c r="A1884">
        <f t="shared" si="87"/>
        <v>1.7597460430215099E-6</v>
      </c>
      <c r="B1884" s="9">
        <v>1.7597460430215099</v>
      </c>
      <c r="C1884">
        <f t="shared" si="88"/>
        <v>170361200236172.69</v>
      </c>
      <c r="D1884">
        <f t="shared" si="89"/>
        <v>170.36120023617269</v>
      </c>
      <c r="H1884" s="9">
        <v>9652</v>
      </c>
    </row>
    <row r="1885" spans="1:8">
      <c r="A1885">
        <f t="shared" si="87"/>
        <v>1.76007392696348E-6</v>
      </c>
      <c r="B1885" s="9">
        <v>1.76007392696348</v>
      </c>
      <c r="C1885">
        <f t="shared" si="88"/>
        <v>170329463670431.62</v>
      </c>
      <c r="D1885">
        <f t="shared" si="89"/>
        <v>170.32946367043164</v>
      </c>
      <c r="H1885" s="9">
        <v>9652</v>
      </c>
    </row>
    <row r="1886" spans="1:8">
      <c r="A1886">
        <f t="shared" si="87"/>
        <v>1.76040181090545E-6</v>
      </c>
      <c r="B1886" s="9">
        <v>1.76040181090545</v>
      </c>
      <c r="C1886">
        <f t="shared" si="88"/>
        <v>170297738926889.59</v>
      </c>
      <c r="D1886">
        <f t="shared" si="89"/>
        <v>170.29773892688959</v>
      </c>
      <c r="H1886" s="9">
        <v>9652</v>
      </c>
    </row>
    <row r="1887" spans="1:8">
      <c r="A1887">
        <f t="shared" si="87"/>
        <v>1.7607296948474201E-6</v>
      </c>
      <c r="B1887" s="9">
        <v>1.76072969484742</v>
      </c>
      <c r="C1887">
        <f t="shared" si="88"/>
        <v>170266025998941.97</v>
      </c>
      <c r="D1887">
        <f t="shared" si="89"/>
        <v>170.26602599894196</v>
      </c>
      <c r="H1887" s="9">
        <v>9652</v>
      </c>
    </row>
    <row r="1888" spans="1:8">
      <c r="A1888">
        <f t="shared" si="87"/>
        <v>1.76105757878939E-6</v>
      </c>
      <c r="B1888" s="9">
        <v>1.7610575787893901</v>
      </c>
      <c r="C1888">
        <f t="shared" si="88"/>
        <v>170234324879989.09</v>
      </c>
      <c r="D1888">
        <f t="shared" si="89"/>
        <v>170.23432487998909</v>
      </c>
      <c r="H1888" s="9">
        <v>9652</v>
      </c>
    </row>
    <row r="1889" spans="1:8">
      <c r="A1889">
        <f t="shared" si="87"/>
        <v>1.7613854627313701E-6</v>
      </c>
      <c r="B1889" s="9">
        <v>1.7613854627313701</v>
      </c>
      <c r="C1889">
        <f t="shared" si="88"/>
        <v>170202635563435.16</v>
      </c>
      <c r="D1889">
        <f t="shared" si="89"/>
        <v>170.20263556343517</v>
      </c>
      <c r="H1889" s="9">
        <v>9652</v>
      </c>
    </row>
    <row r="1890" spans="1:8">
      <c r="A1890">
        <f t="shared" si="87"/>
        <v>1.7617133466733399E-6</v>
      </c>
      <c r="B1890" s="9">
        <v>1.7617133466733399</v>
      </c>
      <c r="C1890">
        <f t="shared" si="88"/>
        <v>170170958042692.31</v>
      </c>
      <c r="D1890">
        <f t="shared" si="89"/>
        <v>170.17095804269232</v>
      </c>
      <c r="H1890" s="9">
        <v>9652</v>
      </c>
    </row>
    <row r="1891" spans="1:8">
      <c r="A1891">
        <f t="shared" si="87"/>
        <v>1.76204123061531E-6</v>
      </c>
      <c r="B1891" s="9">
        <v>1.7620412306153099</v>
      </c>
      <c r="C1891">
        <f t="shared" si="88"/>
        <v>170139292311174.59</v>
      </c>
      <c r="D1891">
        <f t="shared" si="89"/>
        <v>170.13929231117459</v>
      </c>
      <c r="H1891" s="9">
        <v>9652</v>
      </c>
    </row>
    <row r="1892" spans="1:8">
      <c r="A1892">
        <f t="shared" si="87"/>
        <v>1.76236911455728E-6</v>
      </c>
      <c r="B1892" s="9">
        <v>1.76236911455728</v>
      </c>
      <c r="C1892">
        <f t="shared" si="88"/>
        <v>170107638362301.91</v>
      </c>
      <c r="D1892">
        <f t="shared" si="89"/>
        <v>170.10763836230191</v>
      </c>
      <c r="H1892" s="9">
        <v>9652</v>
      </c>
    </row>
    <row r="1893" spans="1:8">
      <c r="A1893">
        <f t="shared" si="87"/>
        <v>1.7626969984992499E-6</v>
      </c>
      <c r="B1893" s="9">
        <v>1.76269699849925</v>
      </c>
      <c r="C1893">
        <f t="shared" si="88"/>
        <v>170075996189499.12</v>
      </c>
      <c r="D1893">
        <f t="shared" si="89"/>
        <v>170.07599618949914</v>
      </c>
      <c r="H1893" s="9">
        <v>9652</v>
      </c>
    </row>
    <row r="1894" spans="1:8">
      <c r="A1894">
        <f t="shared" si="87"/>
        <v>1.76302488244122E-6</v>
      </c>
      <c r="B1894" s="9">
        <v>1.76302488244122</v>
      </c>
      <c r="C1894">
        <f t="shared" si="88"/>
        <v>170044365786196</v>
      </c>
      <c r="D1894">
        <f t="shared" si="89"/>
        <v>170.04436578619601</v>
      </c>
      <c r="H1894" s="9">
        <v>9652</v>
      </c>
    </row>
    <row r="1895" spans="1:8">
      <c r="A1895">
        <f t="shared" si="87"/>
        <v>1.76335276638319E-6</v>
      </c>
      <c r="B1895" s="9">
        <v>1.7633527663831901</v>
      </c>
      <c r="C1895">
        <f t="shared" si="88"/>
        <v>170012747145827.09</v>
      </c>
      <c r="D1895">
        <f t="shared" si="89"/>
        <v>170.01274714582709</v>
      </c>
      <c r="H1895" s="9">
        <v>9652</v>
      </c>
    </row>
    <row r="1896" spans="1:8">
      <c r="A1896">
        <f t="shared" si="87"/>
        <v>1.7636806503251601E-6</v>
      </c>
      <c r="B1896" s="9">
        <v>1.7636806503251601</v>
      </c>
      <c r="C1896">
        <f t="shared" si="88"/>
        <v>169981140261831.94</v>
      </c>
      <c r="D1896">
        <f t="shared" si="89"/>
        <v>169.98114026183194</v>
      </c>
      <c r="H1896" s="9">
        <v>9652</v>
      </c>
    </row>
    <row r="1897" spans="1:8">
      <c r="A1897">
        <f t="shared" si="87"/>
        <v>1.7640085342671298E-6</v>
      </c>
      <c r="B1897" s="9">
        <v>1.7640085342671299</v>
      </c>
      <c r="C1897">
        <f t="shared" si="88"/>
        <v>169949545127654.91</v>
      </c>
      <c r="D1897">
        <f t="shared" si="89"/>
        <v>169.94954512765491</v>
      </c>
      <c r="H1897" s="9">
        <v>9652</v>
      </c>
    </row>
    <row r="1898" spans="1:8">
      <c r="A1898">
        <f t="shared" si="87"/>
        <v>1.7643364182091E-6</v>
      </c>
      <c r="B1898" s="9">
        <v>1.7643364182090999</v>
      </c>
      <c r="C1898">
        <f t="shared" si="88"/>
        <v>169917961736745.25</v>
      </c>
      <c r="D1898">
        <f t="shared" si="89"/>
        <v>169.91796173674524</v>
      </c>
      <c r="H1898" s="9">
        <v>9652</v>
      </c>
    </row>
    <row r="1899" spans="1:8">
      <c r="A1899">
        <f t="shared" si="87"/>
        <v>1.7646643021510799E-6</v>
      </c>
      <c r="B1899" s="9">
        <v>1.7646643021510799</v>
      </c>
      <c r="C1899">
        <f t="shared" si="88"/>
        <v>169886390082556.09</v>
      </c>
      <c r="D1899">
        <f t="shared" si="89"/>
        <v>169.88639008255609</v>
      </c>
      <c r="H1899" s="9">
        <v>9652</v>
      </c>
    </row>
    <row r="1900" spans="1:8">
      <c r="A1900">
        <f t="shared" si="87"/>
        <v>1.76499218609305E-6</v>
      </c>
      <c r="B1900" s="9">
        <v>1.76499218609305</v>
      </c>
      <c r="C1900">
        <f t="shared" si="88"/>
        <v>169854830158548.37</v>
      </c>
      <c r="D1900">
        <f t="shared" si="89"/>
        <v>169.85483015854837</v>
      </c>
      <c r="H1900" s="9">
        <v>9652</v>
      </c>
    </row>
    <row r="1901" spans="1:8">
      <c r="A1901">
        <f t="shared" si="87"/>
        <v>1.76532007003502E-6</v>
      </c>
      <c r="B1901" s="9">
        <v>1.76532007003502</v>
      </c>
      <c r="C1901">
        <f t="shared" si="88"/>
        <v>169823281958184.94</v>
      </c>
      <c r="D1901">
        <f t="shared" si="89"/>
        <v>169.82328195818494</v>
      </c>
      <c r="H1901" s="9">
        <v>9652</v>
      </c>
    </row>
    <row r="1902" spans="1:8">
      <c r="A1902">
        <f t="shared" si="87"/>
        <v>1.7656479539769901E-6</v>
      </c>
      <c r="B1902" s="9">
        <v>1.76564795397699</v>
      </c>
      <c r="C1902">
        <f t="shared" si="88"/>
        <v>169791745474934.53</v>
      </c>
      <c r="D1902">
        <f t="shared" si="89"/>
        <v>169.79174547493454</v>
      </c>
      <c r="H1902" s="9">
        <v>9652</v>
      </c>
    </row>
    <row r="1903" spans="1:8">
      <c r="A1903">
        <f t="shared" si="87"/>
        <v>1.76597583791896E-6</v>
      </c>
      <c r="B1903" s="9">
        <v>1.7659758379189601</v>
      </c>
      <c r="C1903">
        <f t="shared" si="88"/>
        <v>169760220702270.66</v>
      </c>
      <c r="D1903">
        <f t="shared" si="89"/>
        <v>169.76022070227066</v>
      </c>
      <c r="H1903" s="9">
        <v>9652</v>
      </c>
    </row>
    <row r="1904" spans="1:8">
      <c r="A1904">
        <f t="shared" si="87"/>
        <v>1.7663037218609302E-6</v>
      </c>
      <c r="B1904" s="9">
        <v>1.7663037218609301</v>
      </c>
      <c r="C1904">
        <f t="shared" si="88"/>
        <v>169728707633671.72</v>
      </c>
      <c r="D1904">
        <f t="shared" si="89"/>
        <v>169.72870763367172</v>
      </c>
      <c r="H1904" s="9">
        <v>9652</v>
      </c>
    </row>
    <row r="1905" spans="1:8">
      <c r="A1905">
        <f t="shared" si="87"/>
        <v>1.7666316058028999E-6</v>
      </c>
      <c r="B1905" s="9">
        <v>1.7666316058028999</v>
      </c>
      <c r="C1905">
        <f t="shared" si="88"/>
        <v>169697206262620.97</v>
      </c>
      <c r="D1905">
        <f t="shared" si="89"/>
        <v>169.69720626262097</v>
      </c>
      <c r="H1905" s="9">
        <v>9652</v>
      </c>
    </row>
    <row r="1906" spans="1:8">
      <c r="A1906">
        <f t="shared" si="87"/>
        <v>1.7669594897448699E-6</v>
      </c>
      <c r="B1906" s="9">
        <v>1.7669594897448699</v>
      </c>
      <c r="C1906">
        <f t="shared" si="88"/>
        <v>169665716582606.44</v>
      </c>
      <c r="D1906">
        <f t="shared" si="89"/>
        <v>169.66571658260645</v>
      </c>
      <c r="H1906" s="9">
        <v>9652</v>
      </c>
    </row>
    <row r="1907" spans="1:8">
      <c r="A1907">
        <f t="shared" si="87"/>
        <v>1.76728737368684E-6</v>
      </c>
      <c r="B1907" s="9">
        <v>1.76728737368684</v>
      </c>
      <c r="C1907">
        <f t="shared" si="88"/>
        <v>169634238587121.06</v>
      </c>
      <c r="D1907">
        <f t="shared" si="89"/>
        <v>169.63423858712108</v>
      </c>
      <c r="H1907" s="9">
        <v>9652</v>
      </c>
    </row>
    <row r="1908" spans="1:8">
      <c r="A1908">
        <f t="shared" si="87"/>
        <v>1.7676152576288099E-6</v>
      </c>
      <c r="B1908" s="9">
        <v>1.76761525762881</v>
      </c>
      <c r="C1908">
        <f t="shared" si="88"/>
        <v>169602772269662.56</v>
      </c>
      <c r="D1908">
        <f t="shared" si="89"/>
        <v>169.60277226966255</v>
      </c>
      <c r="H1908" s="9">
        <v>9652</v>
      </c>
    </row>
    <row r="1909" spans="1:8">
      <c r="A1909">
        <f t="shared" si="87"/>
        <v>1.76794314157079E-6</v>
      </c>
      <c r="B1909" s="9">
        <v>1.76794314157079</v>
      </c>
      <c r="C1909">
        <f t="shared" si="88"/>
        <v>169571317623732.56</v>
      </c>
      <c r="D1909">
        <f t="shared" si="89"/>
        <v>169.57131762373257</v>
      </c>
      <c r="H1909" s="9">
        <v>9652</v>
      </c>
    </row>
    <row r="1910" spans="1:8">
      <c r="A1910">
        <f t="shared" si="87"/>
        <v>1.76827102551276E-6</v>
      </c>
      <c r="B1910" s="9">
        <v>1.7682710255127601</v>
      </c>
      <c r="C1910">
        <f t="shared" si="88"/>
        <v>169539874642840.31</v>
      </c>
      <c r="D1910">
        <f t="shared" si="89"/>
        <v>169.53987464284032</v>
      </c>
      <c r="H1910" s="9">
        <v>9652</v>
      </c>
    </row>
    <row r="1911" spans="1:8">
      <c r="A1911">
        <f t="shared" si="87"/>
        <v>1.7685989094547301E-6</v>
      </c>
      <c r="B1911" s="9">
        <v>1.7685989094547301</v>
      </c>
      <c r="C1911">
        <f t="shared" si="88"/>
        <v>169508443320497.03</v>
      </c>
      <c r="D1911">
        <f t="shared" si="89"/>
        <v>169.50844332049704</v>
      </c>
      <c r="H1911" s="9">
        <v>9572</v>
      </c>
    </row>
    <row r="1912" spans="1:8">
      <c r="A1912">
        <f t="shared" si="87"/>
        <v>1.7689267933966998E-6</v>
      </c>
      <c r="B1912" s="9">
        <v>1.7689267933966999</v>
      </c>
      <c r="C1912">
        <f t="shared" si="88"/>
        <v>169477023650219.81</v>
      </c>
      <c r="D1912">
        <f t="shared" si="89"/>
        <v>169.47702365021982</v>
      </c>
      <c r="H1912" s="9">
        <v>9572</v>
      </c>
    </row>
    <row r="1913" spans="1:8">
      <c r="A1913">
        <f t="shared" si="87"/>
        <v>1.76925467733867E-6</v>
      </c>
      <c r="B1913" s="9">
        <v>1.7692546773386699</v>
      </c>
      <c r="C1913">
        <f t="shared" si="88"/>
        <v>169445615625530.34</v>
      </c>
      <c r="D1913">
        <f t="shared" si="89"/>
        <v>169.44561562553034</v>
      </c>
      <c r="H1913" s="9">
        <v>9572</v>
      </c>
    </row>
    <row r="1914" spans="1:8">
      <c r="A1914">
        <f t="shared" si="87"/>
        <v>1.7695825612806399E-6</v>
      </c>
      <c r="B1914" s="9">
        <v>1.76958256128064</v>
      </c>
      <c r="C1914">
        <f t="shared" si="88"/>
        <v>169414219239955.31</v>
      </c>
      <c r="D1914">
        <f t="shared" si="89"/>
        <v>169.41421923995532</v>
      </c>
      <c r="H1914" s="9">
        <v>9508</v>
      </c>
    </row>
    <row r="1915" spans="1:8">
      <c r="A1915">
        <f t="shared" si="87"/>
        <v>1.7699104452226101E-6</v>
      </c>
      <c r="B1915" s="9">
        <v>1.76991044522261</v>
      </c>
      <c r="C1915">
        <f t="shared" si="88"/>
        <v>169382834487026.09</v>
      </c>
      <c r="D1915">
        <f t="shared" si="89"/>
        <v>169.38283448702609</v>
      </c>
      <c r="H1915" s="9">
        <v>9508</v>
      </c>
    </row>
    <row r="1916" spans="1:8">
      <c r="A1916">
        <f t="shared" si="87"/>
        <v>1.77023832916458E-6</v>
      </c>
      <c r="B1916" s="9">
        <v>1.77023832916458</v>
      </c>
      <c r="C1916">
        <f t="shared" si="88"/>
        <v>169351461360278.87</v>
      </c>
      <c r="D1916">
        <f t="shared" si="89"/>
        <v>169.35146136027888</v>
      </c>
      <c r="H1916" s="9">
        <v>9471</v>
      </c>
    </row>
    <row r="1917" spans="1:8">
      <c r="A1917">
        <f t="shared" si="87"/>
        <v>1.7705662131065499E-6</v>
      </c>
      <c r="B1917" s="9">
        <v>1.77056621310655</v>
      </c>
      <c r="C1917">
        <f t="shared" si="88"/>
        <v>169320099853254.66</v>
      </c>
      <c r="D1917">
        <f t="shared" si="89"/>
        <v>169.32009985325465</v>
      </c>
      <c r="H1917" s="9">
        <v>9471</v>
      </c>
    </row>
    <row r="1918" spans="1:8">
      <c r="A1918">
        <f t="shared" si="87"/>
        <v>1.7708940970485201E-6</v>
      </c>
      <c r="B1918" s="9">
        <v>1.7708940970485201</v>
      </c>
      <c r="C1918">
        <f t="shared" si="88"/>
        <v>169288749959499.19</v>
      </c>
      <c r="D1918">
        <f t="shared" si="89"/>
        <v>169.2887499594992</v>
      </c>
      <c r="H1918" s="9">
        <v>9471</v>
      </c>
    </row>
    <row r="1919" spans="1:8">
      <c r="A1919">
        <f t="shared" si="87"/>
        <v>1.7712219809905002E-6</v>
      </c>
      <c r="B1919" s="9">
        <v>1.7712219809905001</v>
      </c>
      <c r="C1919">
        <f t="shared" si="88"/>
        <v>169257411672562.09</v>
      </c>
      <c r="D1919">
        <f t="shared" si="89"/>
        <v>169.25741167256209</v>
      </c>
      <c r="H1919" s="9">
        <v>9432</v>
      </c>
    </row>
    <row r="1920" spans="1:8">
      <c r="A1920">
        <f t="shared" si="87"/>
        <v>1.7715498649324699E-6</v>
      </c>
      <c r="B1920" s="9">
        <v>1.7715498649324699</v>
      </c>
      <c r="C1920">
        <f t="shared" si="88"/>
        <v>169226084986000.59</v>
      </c>
      <c r="D1920">
        <f t="shared" si="89"/>
        <v>169.22608498600059</v>
      </c>
      <c r="H1920" s="9">
        <v>9432</v>
      </c>
    </row>
    <row r="1921" spans="1:8">
      <c r="A1921">
        <f t="shared" si="87"/>
        <v>1.7718777488744399E-6</v>
      </c>
      <c r="B1921" s="9">
        <v>1.7718777488744399</v>
      </c>
      <c r="C1921">
        <f t="shared" si="88"/>
        <v>169194769893373.78</v>
      </c>
      <c r="D1921">
        <f t="shared" si="89"/>
        <v>169.19476989337377</v>
      </c>
      <c r="H1921" s="9">
        <v>9432</v>
      </c>
    </row>
    <row r="1922" spans="1:8">
      <c r="A1922">
        <f t="shared" si="87"/>
        <v>1.77220563281641E-6</v>
      </c>
      <c r="B1922" s="9">
        <v>1.77220563281641</v>
      </c>
      <c r="C1922">
        <f t="shared" si="88"/>
        <v>169163466388246.56</v>
      </c>
      <c r="D1922">
        <f t="shared" si="89"/>
        <v>169.16346638824658</v>
      </c>
      <c r="H1922" s="9">
        <v>9432</v>
      </c>
    </row>
    <row r="1923" spans="1:8">
      <c r="A1923">
        <f t="shared" si="87"/>
        <v>1.7725335167583799E-6</v>
      </c>
      <c r="B1923" s="9">
        <v>1.77253351675838</v>
      </c>
      <c r="C1923">
        <f t="shared" si="88"/>
        <v>169132174464188.56</v>
      </c>
      <c r="D1923">
        <f t="shared" si="89"/>
        <v>169.13217446418855</v>
      </c>
      <c r="H1923" s="9">
        <v>9432</v>
      </c>
    </row>
    <row r="1924" spans="1:8">
      <c r="A1924">
        <f t="shared" si="87"/>
        <v>1.7728614007003501E-6</v>
      </c>
      <c r="B1924" s="9">
        <v>1.77286140070035</v>
      </c>
      <c r="C1924">
        <f t="shared" si="88"/>
        <v>169100894114774.09</v>
      </c>
      <c r="D1924">
        <f t="shared" si="89"/>
        <v>169.10089411477409</v>
      </c>
      <c r="H1924" s="9">
        <v>9412</v>
      </c>
    </row>
    <row r="1925" spans="1:8">
      <c r="A1925">
        <f t="shared" si="87"/>
        <v>1.77318928464232E-6</v>
      </c>
      <c r="B1925" s="9">
        <v>1.7731892846423201</v>
      </c>
      <c r="C1925">
        <f t="shared" si="88"/>
        <v>169069625333582.37</v>
      </c>
      <c r="D1925">
        <f t="shared" si="89"/>
        <v>169.06962533358237</v>
      </c>
      <c r="H1925" s="9">
        <v>9412</v>
      </c>
    </row>
    <row r="1926" spans="1:8">
      <c r="A1926">
        <f t="shared" si="87"/>
        <v>1.7735171685842902E-6</v>
      </c>
      <c r="B1926" s="9">
        <v>1.7735171685842901</v>
      </c>
      <c r="C1926">
        <f t="shared" si="88"/>
        <v>169038368114197.22</v>
      </c>
      <c r="D1926">
        <f t="shared" si="89"/>
        <v>169.03836811419723</v>
      </c>
      <c r="H1926" s="9">
        <v>9412</v>
      </c>
    </row>
    <row r="1927" spans="1:8">
      <c r="A1927">
        <f t="shared" ref="A1927:A1990" si="90">B1927/1000000</f>
        <v>1.7738450525262599E-6</v>
      </c>
      <c r="B1927" s="9">
        <v>1.7738450525262599</v>
      </c>
      <c r="C1927">
        <f t="shared" ref="C1927:C1990" si="91">wavelength_to_freq(B1927)</f>
        <v>169007122450207.28</v>
      </c>
      <c r="D1927">
        <f t="shared" ref="D1927:D1990" si="92">C1927/1000000000000</f>
        <v>169.00712245020728</v>
      </c>
      <c r="H1927" s="9">
        <v>9412</v>
      </c>
    </row>
    <row r="1928" spans="1:8">
      <c r="A1928">
        <f t="shared" si="90"/>
        <v>1.7741729364682298E-6</v>
      </c>
      <c r="B1928" s="9">
        <v>1.7741729364682299</v>
      </c>
      <c r="C1928">
        <f t="shared" si="91"/>
        <v>168975888335205.91</v>
      </c>
      <c r="D1928">
        <f t="shared" si="92"/>
        <v>168.97588833520589</v>
      </c>
      <c r="H1928" s="9">
        <v>9412</v>
      </c>
    </row>
    <row r="1929" spans="1:8">
      <c r="A1929">
        <f t="shared" si="90"/>
        <v>1.7745008204102099E-6</v>
      </c>
      <c r="B1929" s="9">
        <v>1.77450082041021</v>
      </c>
      <c r="C1929">
        <f t="shared" si="91"/>
        <v>168944665762790.25</v>
      </c>
      <c r="D1929">
        <f t="shared" si="92"/>
        <v>168.94466576279024</v>
      </c>
      <c r="H1929" s="9">
        <v>9388</v>
      </c>
    </row>
    <row r="1930" spans="1:8">
      <c r="A1930">
        <f t="shared" si="90"/>
        <v>1.7748287043521801E-6</v>
      </c>
      <c r="B1930" s="9">
        <v>1.77482870435218</v>
      </c>
      <c r="C1930">
        <f t="shared" si="91"/>
        <v>168913454726565.03</v>
      </c>
      <c r="D1930">
        <f t="shared" si="92"/>
        <v>168.91345472656502</v>
      </c>
      <c r="H1930" s="9">
        <v>9388</v>
      </c>
    </row>
    <row r="1931" spans="1:8">
      <c r="A1931">
        <f t="shared" si="90"/>
        <v>1.77515658829415E-6</v>
      </c>
      <c r="B1931" s="9">
        <v>1.77515658829415</v>
      </c>
      <c r="C1931">
        <f t="shared" si="91"/>
        <v>168882255220136.84</v>
      </c>
      <c r="D1931">
        <f t="shared" si="92"/>
        <v>168.88225522013684</v>
      </c>
      <c r="H1931" s="9">
        <v>9388</v>
      </c>
    </row>
    <row r="1932" spans="1:8">
      <c r="A1932">
        <f t="shared" si="90"/>
        <v>1.7754844722361199E-6</v>
      </c>
      <c r="B1932" s="9">
        <v>1.77548447223612</v>
      </c>
      <c r="C1932">
        <f t="shared" si="91"/>
        <v>168851067237117.97</v>
      </c>
      <c r="D1932">
        <f t="shared" si="92"/>
        <v>168.85106723711797</v>
      </c>
      <c r="H1932" s="9">
        <v>9343</v>
      </c>
    </row>
    <row r="1933" spans="1:8">
      <c r="A1933">
        <f t="shared" si="90"/>
        <v>1.7758123561780901E-6</v>
      </c>
      <c r="B1933" s="9">
        <v>1.7758123561780901</v>
      </c>
      <c r="C1933">
        <f t="shared" si="91"/>
        <v>168819890771125.41</v>
      </c>
      <c r="D1933">
        <f t="shared" si="92"/>
        <v>168.81989077112542</v>
      </c>
      <c r="H1933" s="9">
        <v>9343</v>
      </c>
    </row>
    <row r="1934" spans="1:8">
      <c r="A1934">
        <f t="shared" si="90"/>
        <v>1.77614024012006E-6</v>
      </c>
      <c r="B1934" s="9">
        <v>1.7761402401200601</v>
      </c>
      <c r="C1934">
        <f t="shared" si="91"/>
        <v>168788725815780.84</v>
      </c>
      <c r="D1934">
        <f t="shared" si="92"/>
        <v>168.78872581578085</v>
      </c>
      <c r="H1934" s="9">
        <v>9343</v>
      </c>
    </row>
    <row r="1935" spans="1:8">
      <c r="A1935">
        <f t="shared" si="90"/>
        <v>1.77646812406203E-6</v>
      </c>
      <c r="B1935" s="9">
        <v>1.7764681240620299</v>
      </c>
      <c r="C1935">
        <f t="shared" si="91"/>
        <v>168757572364710.78</v>
      </c>
      <c r="D1935">
        <f t="shared" si="92"/>
        <v>168.75757236471077</v>
      </c>
      <c r="H1935" s="9">
        <v>9267</v>
      </c>
    </row>
    <row r="1936" spans="1:8">
      <c r="A1936">
        <f t="shared" si="90"/>
        <v>1.7767960080039999E-6</v>
      </c>
      <c r="B1936" s="9">
        <v>1.7767960080039999</v>
      </c>
      <c r="C1936">
        <f t="shared" si="91"/>
        <v>168726430411546.22</v>
      </c>
      <c r="D1936">
        <f t="shared" si="92"/>
        <v>168.72643041154623</v>
      </c>
      <c r="H1936" s="9">
        <v>9267</v>
      </c>
    </row>
    <row r="1937" spans="1:8">
      <c r="A1937">
        <f t="shared" si="90"/>
        <v>1.77712389194597E-6</v>
      </c>
      <c r="B1937" s="9">
        <v>1.77712389194597</v>
      </c>
      <c r="C1937">
        <f t="shared" si="91"/>
        <v>168695299949923.03</v>
      </c>
      <c r="D1937">
        <f t="shared" si="92"/>
        <v>168.69529994992303</v>
      </c>
      <c r="H1937" s="9">
        <v>9267</v>
      </c>
    </row>
    <row r="1938" spans="1:8">
      <c r="A1938">
        <f t="shared" si="90"/>
        <v>1.77745177588794E-6</v>
      </c>
      <c r="B1938" s="9">
        <v>1.77745177588794</v>
      </c>
      <c r="C1938">
        <f t="shared" si="91"/>
        <v>168664180973481.72</v>
      </c>
      <c r="D1938">
        <f t="shared" si="92"/>
        <v>168.66418097348171</v>
      </c>
      <c r="H1938" s="9">
        <v>9267</v>
      </c>
    </row>
    <row r="1939" spans="1:8">
      <c r="A1939">
        <f t="shared" si="90"/>
        <v>1.7777796598299101E-6</v>
      </c>
      <c r="B1939" s="9">
        <v>1.77777965982991</v>
      </c>
      <c r="C1939">
        <f t="shared" si="91"/>
        <v>168633073475867.53</v>
      </c>
      <c r="D1939">
        <f t="shared" si="92"/>
        <v>168.63307347586752</v>
      </c>
      <c r="H1939" s="9">
        <v>9235</v>
      </c>
    </row>
    <row r="1940" spans="1:8">
      <c r="A1940">
        <f t="shared" si="90"/>
        <v>1.77810754377189E-6</v>
      </c>
      <c r="B1940" s="9">
        <v>1.7781075437718901</v>
      </c>
      <c r="C1940">
        <f t="shared" si="91"/>
        <v>168601977450729.37</v>
      </c>
      <c r="D1940">
        <f t="shared" si="92"/>
        <v>168.60197745072938</v>
      </c>
      <c r="H1940" s="9">
        <v>9235</v>
      </c>
    </row>
    <row r="1941" spans="1:8">
      <c r="A1941">
        <f t="shared" si="90"/>
        <v>1.7784354277138602E-6</v>
      </c>
      <c r="B1941" s="9">
        <v>1.7784354277138601</v>
      </c>
      <c r="C1941">
        <f t="shared" si="91"/>
        <v>168570892891723.75</v>
      </c>
      <c r="D1941">
        <f t="shared" si="92"/>
        <v>168.57089289172376</v>
      </c>
      <c r="H1941" s="9">
        <v>9086</v>
      </c>
    </row>
    <row r="1942" spans="1:8">
      <c r="A1942">
        <f t="shared" si="90"/>
        <v>1.7787633116558299E-6</v>
      </c>
      <c r="B1942" s="9">
        <v>1.7787633116558299</v>
      </c>
      <c r="C1942">
        <f t="shared" si="91"/>
        <v>168539819792508.94</v>
      </c>
      <c r="D1942">
        <f t="shared" si="92"/>
        <v>168.53981979250895</v>
      </c>
      <c r="H1942" s="9">
        <v>9086</v>
      </c>
    </row>
    <row r="1943" spans="1:8">
      <c r="A1943">
        <f t="shared" si="90"/>
        <v>1.7790911955978E-6</v>
      </c>
      <c r="B1943" s="9">
        <v>1.7790911955977999</v>
      </c>
      <c r="C1943">
        <f t="shared" si="91"/>
        <v>168508758146748.91</v>
      </c>
      <c r="D1943">
        <f t="shared" si="92"/>
        <v>168.5087581467489</v>
      </c>
      <c r="H1943" s="9">
        <v>9086</v>
      </c>
    </row>
    <row r="1944" spans="1:8">
      <c r="A1944">
        <f t="shared" si="90"/>
        <v>1.77941907953977E-6</v>
      </c>
      <c r="B1944" s="9">
        <v>1.77941907953977</v>
      </c>
      <c r="C1944">
        <f t="shared" si="91"/>
        <v>168477707948112.19</v>
      </c>
      <c r="D1944">
        <f t="shared" si="92"/>
        <v>168.4777079481122</v>
      </c>
      <c r="H1944" s="9">
        <v>9086</v>
      </c>
    </row>
    <row r="1945" spans="1:8">
      <c r="A1945">
        <f t="shared" si="90"/>
        <v>1.7797469634817399E-6</v>
      </c>
      <c r="B1945" s="9">
        <v>1.77974696348174</v>
      </c>
      <c r="C1945">
        <f t="shared" si="91"/>
        <v>168446669190272.12</v>
      </c>
      <c r="D1945">
        <f t="shared" si="92"/>
        <v>168.44666919027213</v>
      </c>
      <c r="H1945" s="9">
        <v>9086</v>
      </c>
    </row>
    <row r="1946" spans="1:8">
      <c r="A1946">
        <f t="shared" si="90"/>
        <v>1.7800748474237101E-6</v>
      </c>
      <c r="B1946" s="9">
        <v>1.78007484742371</v>
      </c>
      <c r="C1946">
        <f t="shared" si="91"/>
        <v>168415641866906.62</v>
      </c>
      <c r="D1946">
        <f t="shared" si="92"/>
        <v>168.41564186690661</v>
      </c>
      <c r="H1946" s="9">
        <v>9029</v>
      </c>
    </row>
    <row r="1947" spans="1:8">
      <c r="A1947">
        <f t="shared" si="90"/>
        <v>1.78040273136568E-6</v>
      </c>
      <c r="B1947" s="9">
        <v>1.7804027313656801</v>
      </c>
      <c r="C1947">
        <f t="shared" si="91"/>
        <v>168384625971698.25</v>
      </c>
      <c r="D1947">
        <f t="shared" si="92"/>
        <v>168.38462597169826</v>
      </c>
      <c r="H1947" s="9">
        <v>9029</v>
      </c>
    </row>
    <row r="1948" spans="1:8">
      <c r="A1948">
        <f t="shared" si="90"/>
        <v>1.7807306153076501E-6</v>
      </c>
      <c r="B1948" s="9">
        <v>1.7807306153076501</v>
      </c>
      <c r="C1948">
        <f t="shared" si="91"/>
        <v>168353621498334.25</v>
      </c>
      <c r="D1948">
        <f t="shared" si="92"/>
        <v>168.35362149833426</v>
      </c>
      <c r="H1948" s="9">
        <v>8922</v>
      </c>
    </row>
    <row r="1949" spans="1:8">
      <c r="A1949">
        <f t="shared" si="90"/>
        <v>1.7810584992496199E-6</v>
      </c>
      <c r="B1949" s="9">
        <v>1.7810584992496199</v>
      </c>
      <c r="C1949">
        <f t="shared" si="91"/>
        <v>168322628440506.56</v>
      </c>
      <c r="D1949">
        <f t="shared" si="92"/>
        <v>168.32262844050655</v>
      </c>
      <c r="H1949" s="9">
        <v>8922</v>
      </c>
    </row>
    <row r="1950" spans="1:8">
      <c r="A1950">
        <f t="shared" si="90"/>
        <v>1.7813863831916E-6</v>
      </c>
      <c r="B1950" s="9">
        <v>1.7813863831915999</v>
      </c>
      <c r="C1950">
        <f t="shared" si="91"/>
        <v>168291646791910.69</v>
      </c>
      <c r="D1950">
        <f t="shared" si="92"/>
        <v>168.29164679191069</v>
      </c>
      <c r="H1950" s="9">
        <v>8922</v>
      </c>
    </row>
    <row r="1951" spans="1:8">
      <c r="A1951">
        <f t="shared" si="90"/>
        <v>1.7817142671335699E-6</v>
      </c>
      <c r="B1951" s="9">
        <v>1.78171426713357</v>
      </c>
      <c r="C1951">
        <f t="shared" si="91"/>
        <v>168260676546249.72</v>
      </c>
      <c r="D1951">
        <f t="shared" si="92"/>
        <v>168.26067654624973</v>
      </c>
      <c r="H1951" s="9">
        <v>8922</v>
      </c>
    </row>
    <row r="1952" spans="1:8">
      <c r="A1952">
        <f t="shared" si="90"/>
        <v>1.78204215107554E-6</v>
      </c>
      <c r="B1952" s="9">
        <v>1.78204215107554</v>
      </c>
      <c r="C1952">
        <f t="shared" si="91"/>
        <v>168229717697228.56</v>
      </c>
      <c r="D1952">
        <f t="shared" si="92"/>
        <v>168.22971769722855</v>
      </c>
      <c r="H1952" s="9">
        <v>8922</v>
      </c>
    </row>
    <row r="1953" spans="1:8">
      <c r="A1953">
        <f t="shared" si="90"/>
        <v>1.78237003501751E-6</v>
      </c>
      <c r="B1953" s="9">
        <v>1.78237003501751</v>
      </c>
      <c r="C1953">
        <f t="shared" si="91"/>
        <v>168198770238557.59</v>
      </c>
      <c r="D1953">
        <f t="shared" si="92"/>
        <v>168.19877023855759</v>
      </c>
      <c r="H1953" s="9">
        <v>8922</v>
      </c>
    </row>
    <row r="1954" spans="1:8">
      <c r="A1954">
        <f t="shared" si="90"/>
        <v>1.7826979189594801E-6</v>
      </c>
      <c r="B1954" s="9">
        <v>1.78269791895948</v>
      </c>
      <c r="C1954">
        <f t="shared" si="91"/>
        <v>168167834163951.91</v>
      </c>
      <c r="D1954">
        <f t="shared" si="92"/>
        <v>168.16783416395191</v>
      </c>
      <c r="H1954" s="9">
        <v>8897</v>
      </c>
    </row>
    <row r="1955" spans="1:8">
      <c r="A1955">
        <f t="shared" si="90"/>
        <v>1.7830258029014501E-6</v>
      </c>
      <c r="B1955" s="9">
        <v>1.7830258029014501</v>
      </c>
      <c r="C1955">
        <f t="shared" si="91"/>
        <v>168136909467131.19</v>
      </c>
      <c r="D1955">
        <f t="shared" si="92"/>
        <v>168.13690946713118</v>
      </c>
      <c r="H1955" s="9">
        <v>8897</v>
      </c>
    </row>
    <row r="1956" spans="1:8">
      <c r="A1956">
        <f t="shared" si="90"/>
        <v>1.78335368684342E-6</v>
      </c>
      <c r="B1956" s="9">
        <v>1.7833536868434201</v>
      </c>
      <c r="C1956">
        <f t="shared" si="91"/>
        <v>168105996141819.75</v>
      </c>
      <c r="D1956">
        <f t="shared" si="92"/>
        <v>168.10599614181976</v>
      </c>
      <c r="H1956" s="9">
        <v>8897</v>
      </c>
    </row>
    <row r="1957" spans="1:8">
      <c r="A1957">
        <f t="shared" si="90"/>
        <v>1.7836815707853899E-6</v>
      </c>
      <c r="B1957" s="9">
        <v>1.7836815707853899</v>
      </c>
      <c r="C1957">
        <f t="shared" si="91"/>
        <v>168075094181746.53</v>
      </c>
      <c r="D1957">
        <f t="shared" si="92"/>
        <v>168.07509418174652</v>
      </c>
      <c r="H1957" s="9">
        <v>8839</v>
      </c>
    </row>
    <row r="1958" spans="1:8">
      <c r="A1958">
        <f t="shared" si="90"/>
        <v>1.7840094547273599E-6</v>
      </c>
      <c r="B1958" s="9">
        <v>1.7840094547273599</v>
      </c>
      <c r="C1958">
        <f t="shared" si="91"/>
        <v>168044203580645.03</v>
      </c>
      <c r="D1958">
        <f t="shared" si="92"/>
        <v>168.04420358064502</v>
      </c>
      <c r="H1958" s="9">
        <v>8839</v>
      </c>
    </row>
    <row r="1959" spans="1:8">
      <c r="A1959">
        <f t="shared" si="90"/>
        <v>1.78433733866933E-6</v>
      </c>
      <c r="B1959" s="9">
        <v>1.78433733866933</v>
      </c>
      <c r="C1959">
        <f t="shared" si="91"/>
        <v>168013324332253.41</v>
      </c>
      <c r="D1959">
        <f t="shared" si="92"/>
        <v>168.0133243322534</v>
      </c>
      <c r="H1959" s="9">
        <v>8839</v>
      </c>
    </row>
    <row r="1960" spans="1:8">
      <c r="A1960">
        <f t="shared" si="90"/>
        <v>1.7846652226113099E-6</v>
      </c>
      <c r="B1960" s="9">
        <v>1.78466522261131</v>
      </c>
      <c r="C1960">
        <f t="shared" si="91"/>
        <v>167982456430313.44</v>
      </c>
      <c r="D1960">
        <f t="shared" si="92"/>
        <v>167.98245643031345</v>
      </c>
      <c r="H1960" s="9">
        <v>8804</v>
      </c>
    </row>
    <row r="1961" spans="1:8">
      <c r="A1961">
        <f t="shared" si="90"/>
        <v>1.7849931065532801E-6</v>
      </c>
      <c r="B1961" s="9">
        <v>1.78499310655328</v>
      </c>
      <c r="C1961">
        <f t="shared" si="91"/>
        <v>167951599868574.34</v>
      </c>
      <c r="D1961">
        <f t="shared" si="92"/>
        <v>167.95159986857433</v>
      </c>
      <c r="H1961" s="9">
        <v>8804</v>
      </c>
    </row>
    <row r="1962" spans="1:8">
      <c r="A1962">
        <f t="shared" si="90"/>
        <v>1.78532099049525E-6</v>
      </c>
      <c r="B1962" s="9">
        <v>1.7853209904952501</v>
      </c>
      <c r="C1962">
        <f t="shared" si="91"/>
        <v>167920754640787.16</v>
      </c>
      <c r="D1962">
        <f t="shared" si="92"/>
        <v>167.92075464078715</v>
      </c>
      <c r="H1962" s="9">
        <v>8804</v>
      </c>
    </row>
    <row r="1963" spans="1:8">
      <c r="A1963">
        <f t="shared" si="90"/>
        <v>1.7856488744372201E-6</v>
      </c>
      <c r="B1963" s="9">
        <v>1.7856488744372201</v>
      </c>
      <c r="C1963">
        <f t="shared" si="91"/>
        <v>167889920740708.37</v>
      </c>
      <c r="D1963">
        <f t="shared" si="92"/>
        <v>167.88992074070836</v>
      </c>
      <c r="H1963" s="9">
        <v>8804</v>
      </c>
    </row>
    <row r="1964" spans="1:8">
      <c r="A1964">
        <f t="shared" si="90"/>
        <v>1.7859767583791899E-6</v>
      </c>
      <c r="B1964" s="9">
        <v>1.7859767583791899</v>
      </c>
      <c r="C1964">
        <f t="shared" si="91"/>
        <v>167859098162099.09</v>
      </c>
      <c r="D1964">
        <f t="shared" si="92"/>
        <v>167.85909816209909</v>
      </c>
      <c r="H1964" s="9">
        <v>8804</v>
      </c>
    </row>
    <row r="1965" spans="1:8">
      <c r="A1965">
        <f t="shared" si="90"/>
        <v>1.78630464232116E-6</v>
      </c>
      <c r="B1965" s="9">
        <v>1.7863046423211599</v>
      </c>
      <c r="C1965">
        <f t="shared" si="91"/>
        <v>167828286898725</v>
      </c>
      <c r="D1965">
        <f t="shared" si="92"/>
        <v>167.828286898725</v>
      </c>
      <c r="H1965" s="9">
        <v>8804</v>
      </c>
    </row>
    <row r="1966" spans="1:8">
      <c r="A1966">
        <f t="shared" si="90"/>
        <v>1.7866325262631299E-6</v>
      </c>
      <c r="B1966" s="9">
        <v>1.78663252626313</v>
      </c>
      <c r="C1966">
        <f t="shared" si="91"/>
        <v>167797486944356.37</v>
      </c>
      <c r="D1966">
        <f t="shared" si="92"/>
        <v>167.79748694435636</v>
      </c>
      <c r="H1966" s="9">
        <v>8773</v>
      </c>
    </row>
    <row r="1967" spans="1:8">
      <c r="A1967">
        <f t="shared" si="90"/>
        <v>1.7869604102051001E-6</v>
      </c>
      <c r="B1967" s="9">
        <v>1.7869604102051</v>
      </c>
      <c r="C1967">
        <f t="shared" si="91"/>
        <v>167766698292768.03</v>
      </c>
      <c r="D1967">
        <f t="shared" si="92"/>
        <v>167.76669829276804</v>
      </c>
      <c r="H1967" s="9">
        <v>8773</v>
      </c>
    </row>
    <row r="1968" spans="1:8">
      <c r="A1968">
        <f t="shared" si="90"/>
        <v>1.78728829414707E-6</v>
      </c>
      <c r="B1968" s="9">
        <v>1.78728829414707</v>
      </c>
      <c r="C1968">
        <f t="shared" si="91"/>
        <v>167735920937739.37</v>
      </c>
      <c r="D1968">
        <f t="shared" si="92"/>
        <v>167.73592093773937</v>
      </c>
      <c r="H1968" s="9">
        <v>8773</v>
      </c>
    </row>
    <row r="1969" spans="1:8">
      <c r="A1969">
        <f t="shared" si="90"/>
        <v>1.78761617808904E-6</v>
      </c>
      <c r="B1969" s="9">
        <v>1.7876161780890401</v>
      </c>
      <c r="C1969">
        <f t="shared" si="91"/>
        <v>167705154873054.37</v>
      </c>
      <c r="D1969">
        <f t="shared" si="92"/>
        <v>167.70515487305437</v>
      </c>
      <c r="H1969" s="9">
        <v>8773</v>
      </c>
    </row>
    <row r="1970" spans="1:8">
      <c r="A1970">
        <f t="shared" si="90"/>
        <v>1.7879440620310201E-6</v>
      </c>
      <c r="B1970" s="9">
        <v>1.7879440620310201</v>
      </c>
      <c r="C1970">
        <f t="shared" si="91"/>
        <v>167674400092500.62</v>
      </c>
      <c r="D1970">
        <f t="shared" si="92"/>
        <v>167.67440009250063</v>
      </c>
      <c r="H1970" s="9">
        <v>8773</v>
      </c>
    </row>
    <row r="1971" spans="1:8">
      <c r="A1971">
        <f t="shared" si="90"/>
        <v>1.78827194597299E-6</v>
      </c>
      <c r="B1971" s="9">
        <v>1.7882719459729901</v>
      </c>
      <c r="C1971">
        <f t="shared" si="91"/>
        <v>167643656589873.06</v>
      </c>
      <c r="D1971">
        <f t="shared" si="92"/>
        <v>167.64365658987307</v>
      </c>
      <c r="H1971" s="9">
        <v>8773</v>
      </c>
    </row>
    <row r="1972" spans="1:8">
      <c r="A1972">
        <f t="shared" si="90"/>
        <v>1.7885998299149599E-6</v>
      </c>
      <c r="B1972" s="9">
        <v>1.7885998299149599</v>
      </c>
      <c r="C1972">
        <f t="shared" si="91"/>
        <v>167612924358968.44</v>
      </c>
      <c r="D1972">
        <f t="shared" si="92"/>
        <v>167.61292435896843</v>
      </c>
      <c r="H1972" s="9">
        <v>8773</v>
      </c>
    </row>
    <row r="1973" spans="1:8">
      <c r="A1973">
        <f t="shared" si="90"/>
        <v>1.7889277138569299E-6</v>
      </c>
      <c r="B1973" s="9">
        <v>1.7889277138569299</v>
      </c>
      <c r="C1973">
        <f t="shared" si="91"/>
        <v>167582203393588.87</v>
      </c>
      <c r="D1973">
        <f t="shared" si="92"/>
        <v>167.58220339358888</v>
      </c>
      <c r="H1973" s="9">
        <v>8773</v>
      </c>
    </row>
    <row r="1974" spans="1:8">
      <c r="A1974">
        <f t="shared" si="90"/>
        <v>1.7892555977989E-6</v>
      </c>
      <c r="B1974" s="9">
        <v>1.7892555977989</v>
      </c>
      <c r="C1974">
        <f t="shared" si="91"/>
        <v>167551493687541.12</v>
      </c>
      <c r="D1974">
        <f t="shared" si="92"/>
        <v>167.55149368754113</v>
      </c>
      <c r="H1974" s="9">
        <v>8773</v>
      </c>
    </row>
    <row r="1975" spans="1:8">
      <c r="A1975">
        <f t="shared" si="90"/>
        <v>1.78958348174087E-6</v>
      </c>
      <c r="B1975" s="9">
        <v>1.78958348174087</v>
      </c>
      <c r="C1975">
        <f t="shared" si="91"/>
        <v>167520795234636.44</v>
      </c>
      <c r="D1975">
        <f t="shared" si="92"/>
        <v>167.52079523463644</v>
      </c>
      <c r="H1975" s="9">
        <v>8773</v>
      </c>
    </row>
    <row r="1976" spans="1:8">
      <c r="A1976">
        <f t="shared" si="90"/>
        <v>1.7899113656828401E-6</v>
      </c>
      <c r="B1976" s="9">
        <v>1.78991136568284</v>
      </c>
      <c r="C1976">
        <f t="shared" si="91"/>
        <v>167490108028690.59</v>
      </c>
      <c r="D1976">
        <f t="shared" si="92"/>
        <v>167.4901080286906</v>
      </c>
      <c r="H1976" s="9">
        <v>8773</v>
      </c>
    </row>
    <row r="1977" spans="1:8">
      <c r="A1977">
        <f t="shared" si="90"/>
        <v>1.79023924962481E-6</v>
      </c>
      <c r="B1977" s="9">
        <v>1.7902392496248101</v>
      </c>
      <c r="C1977">
        <f t="shared" si="91"/>
        <v>167459432063523.97</v>
      </c>
      <c r="D1977">
        <f t="shared" si="92"/>
        <v>167.45943206352396</v>
      </c>
      <c r="H1977" s="9">
        <v>8773</v>
      </c>
    </row>
    <row r="1978" spans="1:8">
      <c r="A1978">
        <f t="shared" si="90"/>
        <v>1.7905671335667802E-6</v>
      </c>
      <c r="B1978" s="9">
        <v>1.7905671335667801</v>
      </c>
      <c r="C1978">
        <f t="shared" si="91"/>
        <v>167428767332961.37</v>
      </c>
      <c r="D1978">
        <f t="shared" si="92"/>
        <v>167.42876733296137</v>
      </c>
      <c r="H1978" s="9">
        <v>8512</v>
      </c>
    </row>
    <row r="1979" spans="1:8">
      <c r="A1979">
        <f t="shared" si="90"/>
        <v>1.7908950175087499E-6</v>
      </c>
      <c r="B1979" s="9">
        <v>1.7908950175087499</v>
      </c>
      <c r="C1979">
        <f t="shared" si="91"/>
        <v>167398113830832.22</v>
      </c>
      <c r="D1979">
        <f t="shared" si="92"/>
        <v>167.39811383083222</v>
      </c>
      <c r="H1979" s="9">
        <v>8512</v>
      </c>
    </row>
    <row r="1980" spans="1:8">
      <c r="A1980">
        <f t="shared" si="90"/>
        <v>1.79122290145073E-6</v>
      </c>
      <c r="B1980" s="9">
        <v>1.7912229014507299</v>
      </c>
      <c r="C1980">
        <f t="shared" si="91"/>
        <v>167367471550969.44</v>
      </c>
      <c r="D1980">
        <f t="shared" si="92"/>
        <v>167.36747155096944</v>
      </c>
      <c r="H1980" s="9">
        <v>8512</v>
      </c>
    </row>
    <row r="1981" spans="1:8">
      <c r="A1981">
        <f t="shared" si="90"/>
        <v>1.7915507853926999E-6</v>
      </c>
      <c r="B1981" s="9">
        <v>1.7915507853927</v>
      </c>
      <c r="C1981">
        <f t="shared" si="91"/>
        <v>167336840487213.34</v>
      </c>
      <c r="D1981">
        <f t="shared" si="92"/>
        <v>167.33684048721335</v>
      </c>
      <c r="H1981" s="9">
        <v>8512</v>
      </c>
    </row>
    <row r="1982" spans="1:8">
      <c r="A1982">
        <f t="shared" si="90"/>
        <v>1.7918786693346701E-6</v>
      </c>
      <c r="B1982" s="9">
        <v>1.79187866933467</v>
      </c>
      <c r="C1982">
        <f t="shared" si="91"/>
        <v>167306220633405.87</v>
      </c>
      <c r="D1982">
        <f t="shared" si="92"/>
        <v>167.30622063340587</v>
      </c>
      <c r="H1982" s="9">
        <v>8512</v>
      </c>
    </row>
    <row r="1983" spans="1:8">
      <c r="A1983">
        <f t="shared" si="90"/>
        <v>1.79220655327664E-6</v>
      </c>
      <c r="B1983" s="9">
        <v>1.79220655327664</v>
      </c>
      <c r="C1983">
        <f t="shared" si="91"/>
        <v>167275611983394.47</v>
      </c>
      <c r="D1983">
        <f t="shared" si="92"/>
        <v>167.27561198339447</v>
      </c>
      <c r="H1983" s="9">
        <v>8428</v>
      </c>
    </row>
    <row r="1984" spans="1:8">
      <c r="A1984">
        <f t="shared" si="90"/>
        <v>1.79253443721861E-6</v>
      </c>
      <c r="B1984" s="9">
        <v>1.7925344372186101</v>
      </c>
      <c r="C1984">
        <f t="shared" si="91"/>
        <v>167245014531031.06</v>
      </c>
      <c r="D1984">
        <f t="shared" si="92"/>
        <v>167.24501453103107</v>
      </c>
      <c r="H1984" s="9">
        <v>8428</v>
      </c>
    </row>
    <row r="1985" spans="1:8">
      <c r="A1985">
        <f t="shared" si="90"/>
        <v>1.7928623211605801E-6</v>
      </c>
      <c r="B1985" s="9">
        <v>1.7928623211605801</v>
      </c>
      <c r="C1985">
        <f t="shared" si="91"/>
        <v>167214428270172.06</v>
      </c>
      <c r="D1985">
        <f t="shared" si="92"/>
        <v>167.21442827017205</v>
      </c>
      <c r="H1985" s="9">
        <v>8428</v>
      </c>
    </row>
    <row r="1986" spans="1:8">
      <c r="A1986">
        <f t="shared" si="90"/>
        <v>1.7931902051025498E-6</v>
      </c>
      <c r="B1986" s="9">
        <v>1.7931902051025499</v>
      </c>
      <c r="C1986">
        <f t="shared" si="91"/>
        <v>167183853194678.44</v>
      </c>
      <c r="D1986">
        <f t="shared" si="92"/>
        <v>167.18385319467845</v>
      </c>
      <c r="H1986" s="9">
        <v>8428</v>
      </c>
    </row>
    <row r="1987" spans="1:8">
      <c r="A1987">
        <f t="shared" si="90"/>
        <v>1.79351808904452E-6</v>
      </c>
      <c r="B1987" s="9">
        <v>1.7935180890445199</v>
      </c>
      <c r="C1987">
        <f t="shared" si="91"/>
        <v>167153289298415.53</v>
      </c>
      <c r="D1987">
        <f t="shared" si="92"/>
        <v>167.15328929841553</v>
      </c>
      <c r="H1987" s="9">
        <v>8428</v>
      </c>
    </row>
    <row r="1988" spans="1:8">
      <c r="A1988">
        <f t="shared" si="90"/>
        <v>1.7938459729864899E-6</v>
      </c>
      <c r="B1988" s="9">
        <v>1.79384597298649</v>
      </c>
      <c r="C1988">
        <f t="shared" si="91"/>
        <v>167122736575253.25</v>
      </c>
      <c r="D1988">
        <f t="shared" si="92"/>
        <v>167.12273657525324</v>
      </c>
      <c r="H1988" s="9">
        <v>8428</v>
      </c>
    </row>
    <row r="1989" spans="1:8">
      <c r="A1989">
        <f t="shared" si="90"/>
        <v>1.7941738569284601E-6</v>
      </c>
      <c r="B1989" s="9">
        <v>1.79417385692846</v>
      </c>
      <c r="C1989">
        <f t="shared" si="91"/>
        <v>167092195019065.97</v>
      </c>
      <c r="D1989">
        <f t="shared" si="92"/>
        <v>167.09219501906597</v>
      </c>
      <c r="H1989" s="9">
        <v>8428</v>
      </c>
    </row>
    <row r="1990" spans="1:8">
      <c r="A1990">
        <f t="shared" si="90"/>
        <v>1.79450174087044E-6</v>
      </c>
      <c r="B1990" s="9">
        <v>1.79450174087044</v>
      </c>
      <c r="C1990">
        <f t="shared" si="91"/>
        <v>167061664623731.62</v>
      </c>
      <c r="D1990">
        <f t="shared" si="92"/>
        <v>167.06166462373162</v>
      </c>
      <c r="H1990" s="9">
        <v>8402</v>
      </c>
    </row>
    <row r="1991" spans="1:8">
      <c r="A1991">
        <f t="shared" ref="A1991:A2005" si="93">B1991/1000000</f>
        <v>1.7948296248124101E-6</v>
      </c>
      <c r="B1991" s="9">
        <v>1.79482962481241</v>
      </c>
      <c r="C1991">
        <f t="shared" ref="C1991:C2005" si="94">wavelength_to_freq(B1991)</f>
        <v>167031145383135.37</v>
      </c>
      <c r="D1991">
        <f t="shared" ref="D1991:D2005" si="95">C1991/1000000000000</f>
        <v>167.03114538313537</v>
      </c>
      <c r="H1991" s="9">
        <v>8402</v>
      </c>
    </row>
    <row r="1992" spans="1:8">
      <c r="A1992">
        <f t="shared" si="93"/>
        <v>1.79515750875438E-6</v>
      </c>
      <c r="B1992" s="9">
        <v>1.7951575087543801</v>
      </c>
      <c r="C1992">
        <f t="shared" si="94"/>
        <v>167000637291164.12</v>
      </c>
      <c r="D1992">
        <f t="shared" si="95"/>
        <v>167.00063729116411</v>
      </c>
      <c r="H1992" s="9">
        <v>8402</v>
      </c>
    </row>
    <row r="1993" spans="1:8">
      <c r="A1993">
        <f t="shared" si="93"/>
        <v>1.7954853926963502E-6</v>
      </c>
      <c r="B1993" s="9">
        <v>1.7954853926963501</v>
      </c>
      <c r="C1993">
        <f t="shared" si="94"/>
        <v>166970140341710.06</v>
      </c>
      <c r="D1993">
        <f t="shared" si="95"/>
        <v>166.97014034171005</v>
      </c>
      <c r="H1993" s="9">
        <v>8402</v>
      </c>
    </row>
    <row r="1994" spans="1:8">
      <c r="A1994">
        <f t="shared" si="93"/>
        <v>1.7958132766383199E-6</v>
      </c>
      <c r="B1994" s="9">
        <v>1.7958132766383199</v>
      </c>
      <c r="C1994">
        <f t="shared" si="94"/>
        <v>166939654528670</v>
      </c>
      <c r="D1994">
        <f t="shared" si="95"/>
        <v>166.93965452866999</v>
      </c>
      <c r="H1994" s="9">
        <v>8402</v>
      </c>
    </row>
    <row r="1995" spans="1:8">
      <c r="A1995">
        <f t="shared" si="93"/>
        <v>1.7961411605802898E-6</v>
      </c>
      <c r="B1995" s="9">
        <v>1.7961411605802899</v>
      </c>
      <c r="C1995">
        <f t="shared" si="94"/>
        <v>166909179845945</v>
      </c>
      <c r="D1995">
        <f t="shared" si="95"/>
        <v>166.909179845945</v>
      </c>
      <c r="H1995" s="9">
        <v>8402</v>
      </c>
    </row>
    <row r="1996" spans="1:8">
      <c r="A1996">
        <f t="shared" si="93"/>
        <v>1.79646904452226E-6</v>
      </c>
      <c r="B1996" s="9">
        <v>1.79646904452226</v>
      </c>
      <c r="C1996">
        <f t="shared" si="94"/>
        <v>166878716287440.75</v>
      </c>
      <c r="D1996">
        <f t="shared" si="95"/>
        <v>166.87871628744074</v>
      </c>
      <c r="H1996" s="9">
        <v>8402</v>
      </c>
    </row>
    <row r="1997" spans="1:8">
      <c r="A1997">
        <f t="shared" si="93"/>
        <v>1.7967969284642299E-6</v>
      </c>
      <c r="B1997" s="9">
        <v>1.79679692846423</v>
      </c>
      <c r="C1997">
        <f t="shared" si="94"/>
        <v>166848263847067.31</v>
      </c>
      <c r="D1997">
        <f t="shared" si="95"/>
        <v>166.8482638470673</v>
      </c>
      <c r="H1997" s="9">
        <v>8402</v>
      </c>
    </row>
    <row r="1998" spans="1:8">
      <c r="A1998">
        <f t="shared" si="93"/>
        <v>1.7971248124062001E-6</v>
      </c>
      <c r="B1998" s="9">
        <v>1.7971248124062</v>
      </c>
      <c r="C1998">
        <f t="shared" si="94"/>
        <v>166817822518739.22</v>
      </c>
      <c r="D1998">
        <f t="shared" si="95"/>
        <v>166.81782251873921</v>
      </c>
      <c r="H1998" s="9">
        <v>8402</v>
      </c>
    </row>
    <row r="1999" spans="1:8">
      <c r="A1999">
        <f t="shared" si="93"/>
        <v>1.79745269634817E-6</v>
      </c>
      <c r="B1999" s="9">
        <v>1.7974526963481701</v>
      </c>
      <c r="C1999">
        <f t="shared" si="94"/>
        <v>166787392296375.41</v>
      </c>
      <c r="D1999">
        <f t="shared" si="95"/>
        <v>166.7873922963754</v>
      </c>
      <c r="H1999" s="9">
        <v>8402</v>
      </c>
    </row>
    <row r="2000" spans="1:8">
      <c r="A2000">
        <f t="shared" si="93"/>
        <v>1.7977805802901501E-6</v>
      </c>
      <c r="B2000" s="9">
        <v>1.7977805802901501</v>
      </c>
      <c r="C2000">
        <f t="shared" si="94"/>
        <v>166756973173898.37</v>
      </c>
      <c r="D2000">
        <f t="shared" si="95"/>
        <v>166.75697317389839</v>
      </c>
      <c r="H2000" s="9">
        <v>8402</v>
      </c>
    </row>
    <row r="2001" spans="1:8">
      <c r="A2001">
        <f t="shared" si="93"/>
        <v>1.7981084642321198E-6</v>
      </c>
      <c r="B2001" s="9">
        <v>1.7981084642321199</v>
      </c>
      <c r="C2001">
        <f t="shared" si="94"/>
        <v>166726565145237.78</v>
      </c>
      <c r="D2001">
        <f t="shared" si="95"/>
        <v>166.72656514523777</v>
      </c>
      <c r="H2001" s="9">
        <v>8402</v>
      </c>
    </row>
    <row r="2002" spans="1:8">
      <c r="A2002">
        <f t="shared" si="93"/>
        <v>1.79843634817409E-6</v>
      </c>
      <c r="B2002" s="9">
        <v>1.7984363481740899</v>
      </c>
      <c r="C2002">
        <f t="shared" si="94"/>
        <v>166696168204324.94</v>
      </c>
      <c r="D2002">
        <f t="shared" si="95"/>
        <v>166.69616820432495</v>
      </c>
      <c r="H2002" s="9">
        <v>8402</v>
      </c>
    </row>
    <row r="2003" spans="1:8">
      <c r="A2003">
        <f t="shared" si="93"/>
        <v>1.7987642321160599E-6</v>
      </c>
      <c r="B2003" s="9">
        <v>1.79876423211606</v>
      </c>
      <c r="C2003">
        <f t="shared" si="94"/>
        <v>166665782345096.56</v>
      </c>
      <c r="D2003">
        <f t="shared" si="95"/>
        <v>166.66578234509657</v>
      </c>
      <c r="H2003" s="9">
        <v>8335</v>
      </c>
    </row>
    <row r="2004" spans="1:8">
      <c r="A2004">
        <f t="shared" si="93"/>
        <v>1.7990921160580301E-6</v>
      </c>
      <c r="B2004" s="9">
        <v>1.79909211605803</v>
      </c>
      <c r="C2004">
        <f t="shared" si="94"/>
        <v>166635407561493.72</v>
      </c>
      <c r="D2004">
        <f t="shared" si="95"/>
        <v>166.63540756149371</v>
      </c>
      <c r="H2004" s="9">
        <v>8335</v>
      </c>
    </row>
    <row r="2005" spans="1:8">
      <c r="A2005">
        <f t="shared" si="93"/>
        <v>1.79942E-6</v>
      </c>
      <c r="B2005" s="9">
        <v>1.79942</v>
      </c>
      <c r="C2005">
        <f t="shared" si="94"/>
        <v>166605043847461.97</v>
      </c>
      <c r="D2005">
        <f t="shared" si="95"/>
        <v>166.60504384746196</v>
      </c>
      <c r="H2005" s="9">
        <v>8335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4:P36"/>
  <sheetViews>
    <sheetView tabSelected="1" zoomScale="80" zoomScaleNormal="80" workbookViewId="0">
      <selection activeCell="P36" sqref="P36:P181"/>
    </sheetView>
  </sheetViews>
  <sheetFormatPr defaultRowHeight="15"/>
  <cols>
    <col min="1" max="1" width="15.42578125" bestFit="1" customWidth="1"/>
    <col min="2" max="2" width="21" bestFit="1" customWidth="1"/>
    <col min="3" max="3" width="15.42578125" bestFit="1" customWidth="1"/>
    <col min="5" max="5" width="18.85546875" bestFit="1" customWidth="1"/>
    <col min="6" max="6" width="22.42578125" bestFit="1" customWidth="1"/>
    <col min="7" max="7" width="27" style="24" bestFit="1" customWidth="1"/>
    <col min="8" max="8" width="30.5703125" bestFit="1" customWidth="1"/>
    <col min="9" max="9" width="23.5703125" bestFit="1" customWidth="1"/>
    <col min="10" max="11" width="27.140625" bestFit="1" customWidth="1"/>
    <col min="12" max="12" width="26.42578125" bestFit="1" customWidth="1"/>
    <col min="13" max="13" width="30.5703125" bestFit="1" customWidth="1"/>
    <col min="14" max="14" width="10.7109375" bestFit="1" customWidth="1"/>
    <col min="15" max="15" width="12" bestFit="1" customWidth="1"/>
    <col min="16" max="16" width="16.28515625" customWidth="1"/>
  </cols>
  <sheetData>
    <row r="4" spans="1:16">
      <c r="P4" s="10"/>
    </row>
    <row r="6" spans="1:16" s="10" customFormat="1">
      <c r="E6" s="10" t="s">
        <v>15</v>
      </c>
      <c r="F6" s="10" t="s">
        <v>16</v>
      </c>
      <c r="G6" s="27" t="s">
        <v>31</v>
      </c>
      <c r="H6" s="10" t="s">
        <v>17</v>
      </c>
      <c r="I6" s="10" t="s">
        <v>18</v>
      </c>
      <c r="J6" s="10" t="s">
        <v>19</v>
      </c>
      <c r="K6" s="10" t="s">
        <v>20</v>
      </c>
      <c r="L6" s="10" t="s">
        <v>21</v>
      </c>
      <c r="M6" s="10" t="s">
        <v>22</v>
      </c>
      <c r="N6" s="13" t="s">
        <v>26</v>
      </c>
      <c r="O6" s="10" t="s">
        <v>6</v>
      </c>
      <c r="P6" s="10" t="s">
        <v>26</v>
      </c>
    </row>
    <row r="7" spans="1:16" s="8" customFormat="1">
      <c r="A7" t="s">
        <v>9</v>
      </c>
      <c r="B7" s="7" t="s">
        <v>0</v>
      </c>
      <c r="C7" s="8" t="s">
        <v>1</v>
      </c>
      <c r="D7" t="s">
        <v>8</v>
      </c>
      <c r="E7" s="1" t="s">
        <v>12</v>
      </c>
      <c r="F7" s="1" t="s">
        <v>10</v>
      </c>
      <c r="G7" s="28" t="s">
        <v>14</v>
      </c>
      <c r="H7" s="1" t="s">
        <v>11</v>
      </c>
      <c r="I7" s="1" t="s">
        <v>2</v>
      </c>
      <c r="J7" s="1" t="s">
        <v>13</v>
      </c>
      <c r="K7" s="1" t="s">
        <v>4</v>
      </c>
      <c r="L7" s="1" t="s">
        <v>7</v>
      </c>
      <c r="M7" s="1" t="s">
        <v>3</v>
      </c>
      <c r="N7" s="14" t="s">
        <v>32</v>
      </c>
      <c r="O7" s="1" t="s">
        <v>28</v>
      </c>
      <c r="P7" t="s">
        <v>30</v>
      </c>
    </row>
    <row r="8" spans="1:16" s="8" customFormat="1">
      <c r="A8" s="25">
        <f t="shared" ref="A8:A25" si="0">B8/1000000</f>
        <v>1.8534200000000002E-7</v>
      </c>
      <c r="B8" s="25">
        <v>0.18534200000000001</v>
      </c>
      <c r="C8" s="25">
        <f t="shared" ref="C8:C25" si="1">wavelength_to_freq(B8)</f>
        <v>1617509512145115.5</v>
      </c>
      <c r="D8" s="25">
        <f t="shared" ref="D8:D25" si="2">C8/1000000000000</f>
        <v>1617.5095121451154</v>
      </c>
      <c r="E8" s="3">
        <f t="shared" ref="E8:E25" si="3">G8*1E-20</f>
        <v>2.2286147141548575E-25</v>
      </c>
      <c r="F8" s="26">
        <f t="shared" ref="F8:F25" si="4">sr_to_arcsec2(E8)</f>
        <v>5.2372447023130535E-36</v>
      </c>
      <c r="G8" s="24">
        <v>2.2286147141548576E-5</v>
      </c>
      <c r="H8" s="26">
        <f t="shared" ref="H8:H25" si="5">Inu_to_Ilambda(E8,B8)</f>
        <v>1.9449479875322646E-9</v>
      </c>
      <c r="I8" s="26">
        <f t="shared" ref="I8:I25" si="6">sr_to_arcsec2(H8)</f>
        <v>4.5706278789605048E-20</v>
      </c>
      <c r="J8" s="26">
        <f t="shared" ref="J8:J25" si="7">Inu_to_Nnu(E8,C8)</f>
        <v>2.0793716519434423E-7</v>
      </c>
      <c r="K8" s="26">
        <f t="shared" ref="K8:K25" si="8">sr_to_arcsec2(J8)</f>
        <v>4.8865234978090616E-18</v>
      </c>
      <c r="L8" s="26">
        <f t="shared" ref="L8:L25" si="9">Ilambda_to_Nlambda(H8,B8)</f>
        <v>1814701161.2604916</v>
      </c>
      <c r="M8" s="4">
        <f t="shared" ref="M8:M25" si="10">sr_to_arcsec2(L8)</f>
        <v>4.2645478299720402E-2</v>
      </c>
      <c r="N8" s="26">
        <f t="shared" ref="N8:N25" si="11">L8*A8^2</f>
        <v>6.2337991783792865E-5</v>
      </c>
      <c r="O8" s="26">
        <f t="shared" ref="O8:O25" si="12">Inu_to_Antenna_Temperature(E8,C8)</f>
        <v>2.772484272563082E-16</v>
      </c>
      <c r="P8" s="26">
        <f t="shared" ref="P8:P25" si="13">0.000139*O8*B8</f>
        <v>7.1426231426308755E-21</v>
      </c>
    </row>
    <row r="9" spans="1:16" s="8" customFormat="1">
      <c r="A9" s="25">
        <f t="shared" si="0"/>
        <v>1.8799999999999999E-7</v>
      </c>
      <c r="B9" s="25">
        <v>0.188</v>
      </c>
      <c r="C9" s="25">
        <f t="shared" si="1"/>
        <v>1594640680851063.7</v>
      </c>
      <c r="D9" s="25">
        <f t="shared" si="2"/>
        <v>1594.6406808510637</v>
      </c>
      <c r="E9" s="3">
        <f t="shared" si="3"/>
        <v>3.4384471390370105E-25</v>
      </c>
      <c r="F9" s="26">
        <f t="shared" si="4"/>
        <v>8.0803509681277978E-36</v>
      </c>
      <c r="G9" s="24">
        <v>3.4384471390370106E-5</v>
      </c>
      <c r="H9" s="26">
        <f t="shared" si="5"/>
        <v>2.9165360036512612E-9</v>
      </c>
      <c r="I9" s="26">
        <f t="shared" si="6"/>
        <v>6.853859770920673E-20</v>
      </c>
      <c r="J9" s="26">
        <f t="shared" si="7"/>
        <v>3.2541943118523802E-7</v>
      </c>
      <c r="K9" s="26">
        <f t="shared" si="8"/>
        <v>7.6473568139880369E-18</v>
      </c>
      <c r="L9" s="26">
        <f t="shared" si="9"/>
        <v>2760250336.741457</v>
      </c>
      <c r="M9" s="4">
        <f t="shared" si="10"/>
        <v>6.4865884449834613E-2</v>
      </c>
      <c r="N9" s="26">
        <f t="shared" si="11"/>
        <v>9.7558287901790044E-5</v>
      </c>
      <c r="O9" s="26">
        <f t="shared" si="12"/>
        <v>4.401132646427544E-16</v>
      </c>
      <c r="P9" s="26">
        <f t="shared" si="13"/>
        <v>1.1501039831644459E-20</v>
      </c>
    </row>
    <row r="10" spans="1:16" s="8" customFormat="1">
      <c r="A10" s="25">
        <f t="shared" si="0"/>
        <v>1.9390199999999998E-7</v>
      </c>
      <c r="B10" s="25">
        <v>0.19390199999999999</v>
      </c>
      <c r="C10" s="25">
        <f t="shared" si="1"/>
        <v>1546102917968871</v>
      </c>
      <c r="D10" s="25">
        <f t="shared" si="2"/>
        <v>1546.102917968871</v>
      </c>
      <c r="E10" s="3">
        <f t="shared" si="3"/>
        <v>5.8086091430433909E-25</v>
      </c>
      <c r="F10" s="26">
        <f t="shared" si="4"/>
        <v>1.3650231809470734E-35</v>
      </c>
      <c r="G10" s="24">
        <v>5.8086091430433915E-5</v>
      </c>
      <c r="H10" s="26">
        <f t="shared" si="5"/>
        <v>4.6315703527555414E-9</v>
      </c>
      <c r="I10" s="26">
        <f t="shared" si="6"/>
        <v>1.0884190586777961E-19</v>
      </c>
      <c r="J10" s="26">
        <f t="shared" si="7"/>
        <v>5.6699303367018598E-7</v>
      </c>
      <c r="K10" s="26">
        <f t="shared" si="8"/>
        <v>1.3324336606848998E-17</v>
      </c>
      <c r="L10" s="26">
        <f t="shared" si="9"/>
        <v>4520992995.5621748</v>
      </c>
      <c r="M10" s="4">
        <f t="shared" si="10"/>
        <v>0.10624333791218595</v>
      </c>
      <c r="N10" s="26">
        <f t="shared" si="11"/>
        <v>1.6998022956293146E-4</v>
      </c>
      <c r="O10" s="26">
        <f t="shared" si="12"/>
        <v>7.9090284681050271E-16</v>
      </c>
      <c r="P10" s="26">
        <f t="shared" si="13"/>
        <v>2.1316712488512764E-20</v>
      </c>
    </row>
    <row r="11" spans="1:16" s="8" customFormat="1">
      <c r="A11" s="25">
        <f t="shared" si="0"/>
        <v>1.9982700000000001E-7</v>
      </c>
      <c r="B11" s="25">
        <v>0.199827</v>
      </c>
      <c r="C11" s="25">
        <f t="shared" si="1"/>
        <v>1500259964869612.2</v>
      </c>
      <c r="D11" s="25">
        <f t="shared" si="2"/>
        <v>1500.2599648696123</v>
      </c>
      <c r="E11" s="3">
        <f t="shared" si="3"/>
        <v>8.2495493146240769E-25</v>
      </c>
      <c r="F11" s="26">
        <f t="shared" si="4"/>
        <v>1.9386441348552944E-35</v>
      </c>
      <c r="G11" s="24">
        <v>8.2495493146240778E-5</v>
      </c>
      <c r="H11" s="26">
        <f t="shared" si="5"/>
        <v>6.1935917393285442E-9</v>
      </c>
      <c r="I11" s="26">
        <f t="shared" si="6"/>
        <v>1.4554940932169744E-19</v>
      </c>
      <c r="J11" s="26">
        <f t="shared" si="7"/>
        <v>8.2986542665581191E-7</v>
      </c>
      <c r="K11" s="26">
        <f t="shared" si="8"/>
        <v>1.9501837988331221E-17</v>
      </c>
      <c r="L11" s="26">
        <f t="shared" si="9"/>
        <v>6230458726.0037632</v>
      </c>
      <c r="M11" s="4">
        <f t="shared" si="10"/>
        <v>0.14641578352908599</v>
      </c>
      <c r="N11" s="26">
        <f t="shared" si="11"/>
        <v>2.4878738776771029E-4</v>
      </c>
      <c r="O11" s="26">
        <f t="shared" si="12"/>
        <v>1.1929574870530981E-15</v>
      </c>
      <c r="P11" s="26">
        <f t="shared" si="13"/>
        <v>3.3135531091384957E-20</v>
      </c>
    </row>
    <row r="12" spans="1:16" s="8" customFormat="1">
      <c r="A12" s="25">
        <f t="shared" si="0"/>
        <v>2.0905499999999999E-7</v>
      </c>
      <c r="B12" s="25">
        <v>0.20905499999999999</v>
      </c>
      <c r="C12" s="25">
        <f t="shared" si="1"/>
        <v>1434036248834039</v>
      </c>
      <c r="D12" s="25">
        <f t="shared" si="2"/>
        <v>1434.036248834039</v>
      </c>
      <c r="E12" s="3">
        <f t="shared" si="3"/>
        <v>1.4135854740704225E-24</v>
      </c>
      <c r="F12" s="26">
        <f t="shared" si="4"/>
        <v>3.3219259427484786E-35</v>
      </c>
      <c r="G12" s="24">
        <v>1.4135854740704226E-4</v>
      </c>
      <c r="H12" s="26">
        <f t="shared" si="5"/>
        <v>9.6966483013667947E-9</v>
      </c>
      <c r="I12" s="26">
        <f t="shared" si="6"/>
        <v>2.2787124047946743E-19</v>
      </c>
      <c r="J12" s="26">
        <f t="shared" si="7"/>
        <v>1.4876676291035328E-6</v>
      </c>
      <c r="K12" s="26">
        <f t="shared" si="8"/>
        <v>3.4960190111998486E-17</v>
      </c>
      <c r="L12" s="26">
        <f t="shared" si="9"/>
        <v>10204823163.050196</v>
      </c>
      <c r="M12" s="4">
        <f t="shared" si="10"/>
        <v>0.23981335001188764</v>
      </c>
      <c r="N12" s="26">
        <f t="shared" si="11"/>
        <v>4.4599152033930411E-4</v>
      </c>
      <c r="O12" s="26">
        <f t="shared" si="12"/>
        <v>2.237327698604057E-15</v>
      </c>
      <c r="P12" s="26">
        <f t="shared" si="13"/>
        <v>6.5013711342402278E-20</v>
      </c>
    </row>
    <row r="13" spans="1:16" s="8" customFormat="1">
      <c r="A13" s="25">
        <f t="shared" si="0"/>
        <v>2.2202700000000001E-7</v>
      </c>
      <c r="B13" s="25">
        <v>0.222027</v>
      </c>
      <c r="C13" s="25">
        <f t="shared" si="1"/>
        <v>1350252212568741.7</v>
      </c>
      <c r="D13" s="25">
        <f t="shared" si="2"/>
        <v>1350.2522125687417</v>
      </c>
      <c r="E13" s="3">
        <f t="shared" si="3"/>
        <v>2.7817874399322354E-24</v>
      </c>
      <c r="F13" s="26">
        <f t="shared" si="4"/>
        <v>6.5372006386805887E-35</v>
      </c>
      <c r="G13" s="24">
        <v>2.7817874399322355E-4</v>
      </c>
      <c r="H13" s="26">
        <f t="shared" si="5"/>
        <v>1.6917377821906509E-8</v>
      </c>
      <c r="I13" s="26">
        <f t="shared" si="6"/>
        <v>3.9755838823135275E-19</v>
      </c>
      <c r="J13" s="26">
        <f t="shared" si="7"/>
        <v>3.1092311710457003E-6</v>
      </c>
      <c r="K13" s="26">
        <f t="shared" si="8"/>
        <v>7.3066934250234012E-17</v>
      </c>
      <c r="L13" s="26">
        <f t="shared" si="9"/>
        <v>18908719516.50996</v>
      </c>
      <c r="M13" s="4">
        <f t="shared" si="10"/>
        <v>0.44435491916295433</v>
      </c>
      <c r="N13" s="26">
        <f t="shared" si="11"/>
        <v>9.3212402416569743E-4</v>
      </c>
      <c r="O13" s="26">
        <f t="shared" si="12"/>
        <v>4.9661739897800349E-15</v>
      </c>
      <c r="P13" s="26">
        <f t="shared" si="13"/>
        <v>1.5326483502761594E-19</v>
      </c>
    </row>
    <row r="14" spans="1:16" s="8" customFormat="1">
      <c r="A14" s="25">
        <f t="shared" si="0"/>
        <v>2.3580300000000001E-7</v>
      </c>
      <c r="B14" s="25">
        <v>0.23580300000000001</v>
      </c>
      <c r="C14" s="25">
        <f t="shared" si="1"/>
        <v>1271368252312311.5</v>
      </c>
      <c r="D14" s="25">
        <f t="shared" si="2"/>
        <v>1271.3682523123116</v>
      </c>
      <c r="E14" s="3">
        <f t="shared" si="3"/>
        <v>6.1929361151216088E-24</v>
      </c>
      <c r="F14" s="26">
        <f t="shared" si="4"/>
        <v>1.4553400215246951E-34</v>
      </c>
      <c r="G14" s="24">
        <v>6.1929361151216093E-4</v>
      </c>
      <c r="H14" s="26">
        <f t="shared" si="5"/>
        <v>3.3390170461630923E-8</v>
      </c>
      <c r="I14" s="26">
        <f t="shared" si="6"/>
        <v>7.8466902443396127E-19</v>
      </c>
      <c r="J14" s="26">
        <f t="shared" si="7"/>
        <v>7.3513856514718738E-6</v>
      </c>
      <c r="K14" s="26">
        <f t="shared" si="8"/>
        <v>1.7275756690151686E-16</v>
      </c>
      <c r="L14" s="26">
        <f t="shared" si="9"/>
        <v>39636129853.248695</v>
      </c>
      <c r="M14" s="4">
        <f t="shared" si="10"/>
        <v>0.93144907361360452</v>
      </c>
      <c r="N14" s="26">
        <f t="shared" si="11"/>
        <v>2.2038899006468285E-3</v>
      </c>
      <c r="O14" s="26">
        <f t="shared" si="12"/>
        <v>1.2470436623142915E-14</v>
      </c>
      <c r="P14" s="26">
        <f t="shared" si="13"/>
        <v>4.0873872501952868E-19</v>
      </c>
    </row>
    <row r="15" spans="1:16" s="8" customFormat="1">
      <c r="A15" s="25">
        <f t="shared" si="0"/>
        <v>2.50434E-7</v>
      </c>
      <c r="B15" s="25">
        <v>0.25043399999999999</v>
      </c>
      <c r="C15" s="25">
        <f t="shared" si="1"/>
        <v>1197091640911378</v>
      </c>
      <c r="D15" s="25">
        <f t="shared" si="2"/>
        <v>1197.0916409113779</v>
      </c>
      <c r="E15" s="3">
        <f t="shared" si="3"/>
        <v>1.679514507828582E-23</v>
      </c>
      <c r="F15" s="26">
        <f t="shared" si="4"/>
        <v>3.9468591868822939E-34</v>
      </c>
      <c r="G15" s="24">
        <v>1.6795145078285819E-3</v>
      </c>
      <c r="H15" s="26">
        <f t="shared" si="5"/>
        <v>8.0281941673693757E-8</v>
      </c>
      <c r="I15" s="26">
        <f t="shared" si="6"/>
        <v>1.8866256740183326E-18</v>
      </c>
      <c r="J15" s="26">
        <f t="shared" si="7"/>
        <v>2.1173874281842298E-5</v>
      </c>
      <c r="K15" s="26">
        <f t="shared" si="8"/>
        <v>4.9758605740909461E-16</v>
      </c>
      <c r="L15" s="26">
        <f t="shared" si="9"/>
        <v>101212566618.3578</v>
      </c>
      <c r="M15" s="4">
        <f t="shared" si="10"/>
        <v>2.378495371868341</v>
      </c>
      <c r="N15" s="26">
        <f t="shared" si="11"/>
        <v>6.3477676045977441E-3</v>
      </c>
      <c r="O15" s="26">
        <f t="shared" si="12"/>
        <v>3.8146680116846719E-14</v>
      </c>
      <c r="P15" s="26">
        <f t="shared" si="13"/>
        <v>1.3278983706851522E-18</v>
      </c>
    </row>
    <row r="16" spans="1:16" s="8" customFormat="1">
      <c r="A16" s="25">
        <f t="shared" si="0"/>
        <v>2.78256E-7</v>
      </c>
      <c r="B16" s="25">
        <v>0.278256</v>
      </c>
      <c r="C16" s="25">
        <f t="shared" si="1"/>
        <v>1077397964464378.1</v>
      </c>
      <c r="D16" s="25">
        <f t="shared" si="2"/>
        <v>1077.3979644643782</v>
      </c>
      <c r="E16" s="3">
        <f t="shared" si="3"/>
        <v>4.2121715486293081E-23</v>
      </c>
      <c r="F16" s="26">
        <f t="shared" si="4"/>
        <v>9.89860337373674E-34</v>
      </c>
      <c r="G16" s="24">
        <v>4.2121715486293084E-3</v>
      </c>
      <c r="H16" s="26">
        <f t="shared" si="5"/>
        <v>1.6309387946595884E-7</v>
      </c>
      <c r="I16" s="26">
        <f t="shared" si="6"/>
        <v>3.8327062582313376E-18</v>
      </c>
      <c r="J16" s="26">
        <f t="shared" si="7"/>
        <v>5.9002969361507434E-5</v>
      </c>
      <c r="K16" s="26">
        <f t="shared" si="8"/>
        <v>1.3865698128376538E-15</v>
      </c>
      <c r="L16" s="26">
        <f t="shared" si="9"/>
        <v>228457532227.30933</v>
      </c>
      <c r="M16" s="4">
        <f t="shared" si="10"/>
        <v>5.3687521345057867</v>
      </c>
      <c r="N16" s="26">
        <f t="shared" si="11"/>
        <v>1.7688644624155314E-2</v>
      </c>
      <c r="O16" s="26">
        <f t="shared" si="12"/>
        <v>1.1810860315331548E-13</v>
      </c>
      <c r="P16" s="26">
        <f t="shared" si="13"/>
        <v>4.5681554195850241E-18</v>
      </c>
    </row>
    <row r="17" spans="1:16" s="8" customFormat="1">
      <c r="A17" s="25">
        <f t="shared" si="0"/>
        <v>3.0916900000000003E-7</v>
      </c>
      <c r="B17" s="25">
        <v>0.30916900000000003</v>
      </c>
      <c r="C17" s="25">
        <f t="shared" si="1"/>
        <v>969671758811523.75</v>
      </c>
      <c r="D17" s="25">
        <f t="shared" si="2"/>
        <v>969.67175881152377</v>
      </c>
      <c r="E17" s="3">
        <f t="shared" si="3"/>
        <v>1.0564037903106424E-22</v>
      </c>
      <c r="F17" s="26">
        <f t="shared" si="4"/>
        <v>2.4825489660315507E-33</v>
      </c>
      <c r="G17" s="24">
        <v>1.0564037903106425E-2</v>
      </c>
      <c r="H17" s="26">
        <f t="shared" si="5"/>
        <v>3.3132847127806498E-7</v>
      </c>
      <c r="I17" s="26">
        <f t="shared" si="6"/>
        <v>7.7862192594585606E-18</v>
      </c>
      <c r="J17" s="26">
        <f t="shared" si="7"/>
        <v>1.6441792851139232E-4</v>
      </c>
      <c r="K17" s="26">
        <f t="shared" si="8"/>
        <v>3.8638214115360166E-15</v>
      </c>
      <c r="L17" s="26">
        <f t="shared" si="9"/>
        <v>515677257162.87585</v>
      </c>
      <c r="M17" s="4">
        <f t="shared" si="10"/>
        <v>12.118415830363825</v>
      </c>
      <c r="N17" s="26">
        <f t="shared" si="11"/>
        <v>4.9291253283519305E-2</v>
      </c>
      <c r="O17" s="26">
        <f t="shared" si="12"/>
        <v>3.6568592137324932E-13</v>
      </c>
      <c r="P17" s="26">
        <f t="shared" si="13"/>
        <v>1.5715166336881409E-17</v>
      </c>
    </row>
    <row r="18" spans="1:16" s="8" customFormat="1">
      <c r="A18" s="25">
        <f t="shared" si="0"/>
        <v>3.4872499999999999E-7</v>
      </c>
      <c r="B18" s="25">
        <v>0.34872500000000001</v>
      </c>
      <c r="C18" s="25">
        <f t="shared" si="1"/>
        <v>859681548498100.25</v>
      </c>
      <c r="D18" s="25">
        <f t="shared" si="2"/>
        <v>859.68154849810026</v>
      </c>
      <c r="E18" s="3">
        <f t="shared" si="3"/>
        <v>1.7251614663236848E-22</v>
      </c>
      <c r="F18" s="26">
        <f t="shared" si="4"/>
        <v>4.0541295418865861E-33</v>
      </c>
      <c r="G18" s="24">
        <v>1.7251614663236849E-2</v>
      </c>
      <c r="H18" s="26">
        <f t="shared" si="5"/>
        <v>4.2528911915646954E-7</v>
      </c>
      <c r="I18" s="26">
        <f t="shared" si="6"/>
        <v>9.9942945369014368E-18</v>
      </c>
      <c r="J18" s="26">
        <f t="shared" si="7"/>
        <v>3.0285595132209368E-4</v>
      </c>
      <c r="K18" s="26">
        <f t="shared" si="8"/>
        <v>7.1171150246448628E-15</v>
      </c>
      <c r="L18" s="26">
        <f t="shared" si="9"/>
        <v>746604554317.70813</v>
      </c>
      <c r="M18" s="4">
        <f t="shared" si="10"/>
        <v>17.545207442041121</v>
      </c>
      <c r="N18" s="26">
        <f t="shared" si="11"/>
        <v>9.0793927038219313E-2</v>
      </c>
      <c r="O18" s="26">
        <f t="shared" si="12"/>
        <v>7.5977031697397182E-13</v>
      </c>
      <c r="P18" s="26">
        <f t="shared" si="13"/>
        <v>3.6828175626358012E-17</v>
      </c>
    </row>
    <row r="19" spans="1:16" s="8" customFormat="1">
      <c r="A19" s="25">
        <f t="shared" si="0"/>
        <v>3.7036300000000002E-7</v>
      </c>
      <c r="B19" s="25">
        <v>0.370363</v>
      </c>
      <c r="C19" s="25">
        <f t="shared" si="1"/>
        <v>809455717768783.62</v>
      </c>
      <c r="D19" s="25">
        <f t="shared" si="2"/>
        <v>809.45571776878364</v>
      </c>
      <c r="E19" s="3">
        <f t="shared" si="3"/>
        <v>2.4034320854883283E-22</v>
      </c>
      <c r="F19" s="26">
        <f t="shared" si="4"/>
        <v>5.6480655346773933E-33</v>
      </c>
      <c r="G19" s="24">
        <v>2.4034320854883284E-2</v>
      </c>
      <c r="H19" s="26">
        <f t="shared" si="5"/>
        <v>5.2528785107245578E-7</v>
      </c>
      <c r="I19" s="26">
        <f t="shared" si="6"/>
        <v>1.2344264792588401E-17</v>
      </c>
      <c r="J19" s="26">
        <f t="shared" si="7"/>
        <v>4.4810803180329601E-4</v>
      </c>
      <c r="K19" s="26">
        <f t="shared" si="8"/>
        <v>1.0530538996803321E-14</v>
      </c>
      <c r="L19" s="26">
        <f t="shared" si="9"/>
        <v>979373232534.82092</v>
      </c>
      <c r="M19" s="4">
        <f t="shared" si="10"/>
        <v>23.01527150970696</v>
      </c>
      <c r="N19" s="26">
        <f t="shared" si="11"/>
        <v>0.13433940382277196</v>
      </c>
      <c r="O19" s="26">
        <f t="shared" si="12"/>
        <v>1.1939151101111796E-12</v>
      </c>
      <c r="P19" s="26">
        <f t="shared" si="13"/>
        <v>6.1463295487728837E-17</v>
      </c>
    </row>
    <row r="20" spans="1:16" s="8" customFormat="1">
      <c r="A20" s="25">
        <f t="shared" si="0"/>
        <v>3.9334299999999998E-7</v>
      </c>
      <c r="B20" s="25">
        <v>0.393343</v>
      </c>
      <c r="C20" s="25">
        <f t="shared" si="1"/>
        <v>762165458645507.87</v>
      </c>
      <c r="D20" s="25">
        <f t="shared" si="2"/>
        <v>762.1654586455079</v>
      </c>
      <c r="E20" s="3">
        <f t="shared" si="3"/>
        <v>3.5177271711391577E-22</v>
      </c>
      <c r="F20" s="26">
        <f t="shared" si="4"/>
        <v>8.2666590479807286E-33</v>
      </c>
      <c r="G20" s="24">
        <v>3.5177271711391581E-2</v>
      </c>
      <c r="H20" s="26">
        <f t="shared" si="5"/>
        <v>6.8161633555981448E-7</v>
      </c>
      <c r="I20" s="26">
        <f t="shared" si="6"/>
        <v>1.6017984265056883E-17</v>
      </c>
      <c r="J20" s="26">
        <f t="shared" si="7"/>
        <v>6.9655731812919312E-4</v>
      </c>
      <c r="K20" s="26">
        <f t="shared" si="8"/>
        <v>1.636909736375373E-14</v>
      </c>
      <c r="L20" s="26">
        <f t="shared" si="9"/>
        <v>1349692069885.1167</v>
      </c>
      <c r="M20" s="4">
        <f t="shared" si="10"/>
        <v>31.717764393565758</v>
      </c>
      <c r="N20" s="26">
        <f t="shared" si="11"/>
        <v>0.20882262357426559</v>
      </c>
      <c r="O20" s="26">
        <f t="shared" si="12"/>
        <v>1.9710217299713716E-12</v>
      </c>
      <c r="P20" s="26">
        <f t="shared" si="13"/>
        <v>1.0776497644616596E-16</v>
      </c>
    </row>
    <row r="21" spans="1:16" s="8" customFormat="1">
      <c r="A21" s="25">
        <f t="shared" si="0"/>
        <v>4.37042E-7</v>
      </c>
      <c r="B21" s="25">
        <v>0.43704199999999999</v>
      </c>
      <c r="C21" s="25">
        <f t="shared" si="1"/>
        <v>685957981155129.25</v>
      </c>
      <c r="D21" s="25">
        <f t="shared" si="2"/>
        <v>685.95798115512923</v>
      </c>
      <c r="E21" s="3">
        <f t="shared" si="3"/>
        <v>4.8802404896118832E-22</v>
      </c>
      <c r="F21" s="26">
        <f t="shared" si="4"/>
        <v>1.1468565422231841E-32</v>
      </c>
      <c r="G21" s="24">
        <v>4.8802404896118833E-2</v>
      </c>
      <c r="H21" s="26">
        <f t="shared" si="5"/>
        <v>7.6597670562684752E-7</v>
      </c>
      <c r="I21" s="26">
        <f t="shared" si="6"/>
        <v>1.8000453008588824E-17</v>
      </c>
      <c r="J21" s="26">
        <f t="shared" si="7"/>
        <v>1.0737116837751667E-3</v>
      </c>
      <c r="K21" s="26">
        <f t="shared" si="8"/>
        <v>2.5232225166365748E-14</v>
      </c>
      <c r="L21" s="26">
        <f t="shared" si="9"/>
        <v>1685241004171.4248</v>
      </c>
      <c r="M21" s="4">
        <f t="shared" si="10"/>
        <v>39.603164536067226</v>
      </c>
      <c r="N21" s="26">
        <f t="shared" si="11"/>
        <v>0.32189065412515905</v>
      </c>
      <c r="O21" s="26">
        <f t="shared" si="12"/>
        <v>3.3757787968680419E-12</v>
      </c>
      <c r="P21" s="26">
        <f t="shared" si="13"/>
        <v>2.0507463925477153E-16</v>
      </c>
    </row>
    <row r="22" spans="1:16" s="8" customFormat="1">
      <c r="A22" s="25">
        <f t="shared" si="0"/>
        <v>5.1572499999999994E-7</v>
      </c>
      <c r="B22" s="25">
        <v>0.51572499999999999</v>
      </c>
      <c r="C22" s="25">
        <f t="shared" si="1"/>
        <v>581302919191429.5</v>
      </c>
      <c r="D22" s="25">
        <f t="shared" si="2"/>
        <v>581.30291919142951</v>
      </c>
      <c r="E22" s="3">
        <f t="shared" si="3"/>
        <v>6.5149096863086007E-22</v>
      </c>
      <c r="F22" s="26">
        <f t="shared" si="4"/>
        <v>1.5310038125458075E-32</v>
      </c>
      <c r="G22" s="24">
        <v>6.5149096863086009E-2</v>
      </c>
      <c r="H22" s="26">
        <f t="shared" si="5"/>
        <v>7.3433244828536728E-7</v>
      </c>
      <c r="I22" s="26">
        <f t="shared" si="6"/>
        <v>1.7256812943450214E-17</v>
      </c>
      <c r="J22" s="26">
        <f t="shared" si="7"/>
        <v>1.6914137797735486E-3</v>
      </c>
      <c r="K22" s="26">
        <f t="shared" si="8"/>
        <v>3.9748224766153025E-14</v>
      </c>
      <c r="L22" s="26">
        <f t="shared" si="9"/>
        <v>1906488473009.7891</v>
      </c>
      <c r="M22" s="4">
        <f t="shared" si="10"/>
        <v>44.802480176919538</v>
      </c>
      <c r="N22" s="26">
        <f t="shared" si="11"/>
        <v>0.50707307761924492</v>
      </c>
      <c r="O22" s="26">
        <f t="shared" si="12"/>
        <v>6.2752520767463874E-12</v>
      </c>
      <c r="P22" s="26">
        <f t="shared" si="13"/>
        <v>4.4984630844192425E-16</v>
      </c>
    </row>
    <row r="23" spans="1:16" s="8" customFormat="1">
      <c r="A23" s="25">
        <f t="shared" si="0"/>
        <v>6.085739999999999E-7</v>
      </c>
      <c r="B23" s="25">
        <v>0.60857399999999995</v>
      </c>
      <c r="C23" s="25">
        <f t="shared" si="1"/>
        <v>492614617121336.12</v>
      </c>
      <c r="D23" s="25">
        <f t="shared" si="2"/>
        <v>492.61461712133615</v>
      </c>
      <c r="E23" s="3">
        <f t="shared" si="3"/>
        <v>7.8798498575492542E-22</v>
      </c>
      <c r="F23" s="26">
        <f t="shared" si="4"/>
        <v>1.8517647603848901E-32</v>
      </c>
      <c r="G23" s="24">
        <v>7.8798498575492551E-2</v>
      </c>
      <c r="H23" s="26">
        <f t="shared" si="5"/>
        <v>6.378401345687199E-7</v>
      </c>
      <c r="I23" s="26">
        <f t="shared" si="6"/>
        <v>1.4989243517399455E-17</v>
      </c>
      <c r="J23" s="26">
        <f t="shared" si="7"/>
        <v>2.4140964472948692E-3</v>
      </c>
      <c r="K23" s="26">
        <f t="shared" si="8"/>
        <v>5.6731267855163643E-14</v>
      </c>
      <c r="L23" s="26">
        <f t="shared" si="9"/>
        <v>1954107794743.3508</v>
      </c>
      <c r="M23" s="4">
        <f t="shared" si="10"/>
        <v>45.921534264164102</v>
      </c>
      <c r="N23" s="26">
        <f t="shared" si="11"/>
        <v>0.72372788364263174</v>
      </c>
      <c r="O23" s="26">
        <f t="shared" si="12"/>
        <v>1.0568932839948442E-11</v>
      </c>
      <c r="P23" s="26">
        <f t="shared" si="13"/>
        <v>8.9404490504529081E-16</v>
      </c>
    </row>
    <row r="24" spans="1:16" s="8" customFormat="1">
      <c r="A24" s="25">
        <f t="shared" si="0"/>
        <v>7.5130600000000007E-7</v>
      </c>
      <c r="B24" s="25">
        <v>0.75130600000000003</v>
      </c>
      <c r="C24" s="25">
        <f t="shared" si="1"/>
        <v>399028422506941.25</v>
      </c>
      <c r="D24" s="25">
        <f t="shared" si="2"/>
        <v>399.02842250694124</v>
      </c>
      <c r="E24" s="3">
        <f t="shared" si="3"/>
        <v>8.5990358352165783E-22</v>
      </c>
      <c r="F24" s="26">
        <f t="shared" si="4"/>
        <v>2.0207734691398437E-32</v>
      </c>
      <c r="G24" s="24">
        <v>8.5990358352165785E-2</v>
      </c>
      <c r="H24" s="26">
        <f t="shared" si="5"/>
        <v>4.5670601651086629E-7</v>
      </c>
      <c r="I24" s="26">
        <f t="shared" si="6"/>
        <v>1.0732591642217032E-17</v>
      </c>
      <c r="J24" s="26">
        <f t="shared" si="7"/>
        <v>3.2522947361491882E-3</v>
      </c>
      <c r="K24" s="26">
        <f t="shared" si="8"/>
        <v>7.6428928109798015E-14</v>
      </c>
      <c r="L24" s="26">
        <f t="shared" si="9"/>
        <v>1727336182718.1458</v>
      </c>
      <c r="M24" s="4">
        <f t="shared" si="10"/>
        <v>40.592401255346182</v>
      </c>
      <c r="N24" s="26">
        <f t="shared" si="11"/>
        <v>0.97501340056767949</v>
      </c>
      <c r="O24" s="26">
        <f t="shared" si="12"/>
        <v>1.7578017016179861E-11</v>
      </c>
      <c r="P24" s="26">
        <f t="shared" si="13"/>
        <v>1.8356992816777655E-15</v>
      </c>
    </row>
    <row r="25" spans="1:16" s="8" customFormat="1">
      <c r="A25" s="25">
        <f t="shared" si="0"/>
        <v>1.0461800000000001E-6</v>
      </c>
      <c r="B25" s="25">
        <v>1.0461800000000001</v>
      </c>
      <c r="C25" s="25">
        <f t="shared" si="1"/>
        <v>286559146609570</v>
      </c>
      <c r="D25" s="25">
        <f t="shared" si="2"/>
        <v>286.55914660957001</v>
      </c>
      <c r="E25" s="3">
        <f t="shared" si="3"/>
        <v>9.1281308152630469E-22</v>
      </c>
      <c r="F25" s="26">
        <f t="shared" si="4"/>
        <v>2.1451107923958121E-32</v>
      </c>
      <c r="G25" s="24">
        <v>9.1281308152630483E-2</v>
      </c>
      <c r="H25" s="26">
        <f t="shared" si="5"/>
        <v>2.5002861616187433E-7</v>
      </c>
      <c r="I25" s="26">
        <f t="shared" si="6"/>
        <v>5.8756726189749592E-18</v>
      </c>
      <c r="J25" s="26">
        <f t="shared" si="7"/>
        <v>4.8074142767609573E-3</v>
      </c>
      <c r="K25" s="26">
        <f t="shared" si="8"/>
        <v>1.1297423817978513E-13</v>
      </c>
      <c r="L25" s="26">
        <f t="shared" si="9"/>
        <v>1316798765553.9993</v>
      </c>
      <c r="M25" s="4">
        <f t="shared" si="10"/>
        <v>30.94477172347543</v>
      </c>
      <c r="N25" s="26">
        <f t="shared" si="11"/>
        <v>1.4412264945803168</v>
      </c>
      <c r="O25" s="26">
        <f t="shared" si="12"/>
        <v>3.6181043590492715E-11</v>
      </c>
      <c r="P25" s="26">
        <f t="shared" si="13"/>
        <v>5.2614119015067323E-15</v>
      </c>
    </row>
    <row r="26" spans="1:16">
      <c r="A26">
        <f>B26/1000000</f>
        <v>1.2500000000000001E-6</v>
      </c>
      <c r="B26" s="3">
        <v>1.25</v>
      </c>
      <c r="C26">
        <f>wavelength_to_freq(B26)</f>
        <v>239833958400000</v>
      </c>
      <c r="D26">
        <f>C26/1000000000000</f>
        <v>239.8339584</v>
      </c>
      <c r="E26" s="3">
        <f>G26*1E-20</f>
        <v>1.1435434999999999E-21</v>
      </c>
      <c r="F26">
        <f>sr_to_arcsec2(E26)</f>
        <v>2.6873272886519111E-32</v>
      </c>
      <c r="G26" s="29">
        <v>0.11435434999999999</v>
      </c>
      <c r="H26">
        <f>Inu_to_Ilambda(E26,B26)</f>
        <v>2.1940845136607231E-7</v>
      </c>
      <c r="I26">
        <f>sr_to_arcsec2(H26)</f>
        <v>5.1560987292298178E-18</v>
      </c>
      <c r="J26">
        <f>Inu_to_Nnu(E26,C26)</f>
        <v>7.195914307816317E-3</v>
      </c>
      <c r="K26">
        <f>sr_to_arcsec2(J26)</f>
        <v>1.6910399023907282E-13</v>
      </c>
      <c r="L26">
        <f>Ilambda_to_Nlambda(H26,B26)</f>
        <v>1380659690200.6265</v>
      </c>
      <c r="M26" s="4">
        <f>sr_to_arcsec2(L26)</f>
        <v>32.445503488217433</v>
      </c>
      <c r="N26">
        <f>L26*A26^2</f>
        <v>2.1572807659384794</v>
      </c>
      <c r="O26">
        <f>Inu_to_Antenna_Temperature(E26,C26)</f>
        <v>6.4708170788407974E-11</v>
      </c>
      <c r="P26">
        <f t="shared" ref="P26:P89" si="14">0.000139*O26*B26</f>
        <v>1.1243044674485885E-14</v>
      </c>
    </row>
    <row r="27" spans="1:16">
      <c r="A27">
        <f t="shared" ref="A27:A35" si="15">B27/1000000</f>
        <v>2.2000000000000001E-6</v>
      </c>
      <c r="B27" s="3">
        <v>2.2000000000000002</v>
      </c>
      <c r="C27">
        <f t="shared" ref="C27:C35" si="16">wavelength_to_freq(B27)</f>
        <v>136269294545454.53</v>
      </c>
      <c r="D27">
        <f t="shared" ref="D27:D35" si="17">C27/1000000000000</f>
        <v>136.26929454545453</v>
      </c>
      <c r="E27" s="3">
        <f t="shared" ref="E27:E35" si="18">G27*1E-20</f>
        <v>7.5797970000000006E-22</v>
      </c>
      <c r="F27">
        <f t="shared" ref="F27:F35" si="19">sr_to_arcsec2(E27)</f>
        <v>1.7812523371906614E-32</v>
      </c>
      <c r="G27" s="29">
        <v>7.5797970000000006E-2</v>
      </c>
      <c r="H27">
        <f t="shared" ref="H27:H35" si="20">Inu_to_Ilambda(E27,B27)</f>
        <v>4.6949708635806938E-8</v>
      </c>
      <c r="I27">
        <f t="shared" ref="I27:I35" si="21">sr_to_arcsec2(H27)</f>
        <v>1.1033181790746069E-18</v>
      </c>
      <c r="J27">
        <f t="shared" ref="J27:J35" si="22">Inu_to_Nnu(E27,C27)</f>
        <v>8.3946682082012662E-3</v>
      </c>
      <c r="K27">
        <f t="shared" ref="K27:K35" si="23">sr_to_arcsec2(J27)</f>
        <v>1.9727470756536946E-13</v>
      </c>
      <c r="L27">
        <f t="shared" ref="L27:L35" si="24">Ilambda_to_Nlambda(H27,B27)</f>
        <v>519970688488.51874</v>
      </c>
      <c r="M27" s="4">
        <f t="shared" ref="M27:M35" si="25">sr_to_arcsec2(L27)</f>
        <v>12.219311468906243</v>
      </c>
      <c r="N27">
        <f t="shared" ref="N27:N35" si="26">L27*A27^2</f>
        <v>2.516658132284431</v>
      </c>
      <c r="O27">
        <f t="shared" ref="O27:O35" si="27">Inu_to_Antenna_Temperature(E27,C27)</f>
        <v>1.3285849963879575E-10</v>
      </c>
      <c r="P27">
        <f t="shared" si="14"/>
        <v>4.0628129189543739E-14</v>
      </c>
    </row>
    <row r="28" spans="1:16">
      <c r="A28">
        <f t="shared" si="15"/>
        <v>3.4999999999999999E-6</v>
      </c>
      <c r="B28" s="3">
        <v>3.5</v>
      </c>
      <c r="C28">
        <f t="shared" si="16"/>
        <v>85654985142857.141</v>
      </c>
      <c r="D28">
        <f t="shared" si="17"/>
        <v>85.654985142857143</v>
      </c>
      <c r="E28" s="3">
        <f t="shared" si="18"/>
        <v>6.3994433999999998E-22</v>
      </c>
      <c r="F28">
        <f t="shared" si="19"/>
        <v>1.5038692346205779E-32</v>
      </c>
      <c r="G28" s="29">
        <v>6.3994434000000003E-2</v>
      </c>
      <c r="H28">
        <f t="shared" si="20"/>
        <v>1.5661263695701576E-8</v>
      </c>
      <c r="I28">
        <f t="shared" si="21"/>
        <v>3.6803970556635866E-19</v>
      </c>
      <c r="J28">
        <f t="shared" si="22"/>
        <v>1.1275440742528637E-2</v>
      </c>
      <c r="K28">
        <f t="shared" si="23"/>
        <v>2.6497286372555811E-13</v>
      </c>
      <c r="L28">
        <f t="shared" si="24"/>
        <v>275942202651.55896</v>
      </c>
      <c r="M28" s="4">
        <f t="shared" si="25"/>
        <v>6.4846419159065674</v>
      </c>
      <c r="N28">
        <f t="shared" si="26"/>
        <v>3.3802919824815971</v>
      </c>
      <c r="O28">
        <f t="shared" si="27"/>
        <v>2.8389954624263353E-10</v>
      </c>
      <c r="P28">
        <f t="shared" si="14"/>
        <v>1.381171292470412E-13</v>
      </c>
    </row>
    <row r="29" spans="1:16">
      <c r="A29">
        <f t="shared" si="15"/>
        <v>4.9000000000000005E-6</v>
      </c>
      <c r="B29" s="3">
        <v>4.9000000000000004</v>
      </c>
      <c r="C29">
        <f t="shared" si="16"/>
        <v>61182132244897.953</v>
      </c>
      <c r="D29">
        <f t="shared" si="17"/>
        <v>61.18213224489795</v>
      </c>
      <c r="E29" s="3">
        <f t="shared" si="18"/>
        <v>3.8694028999999998E-21</v>
      </c>
      <c r="F29">
        <f t="shared" si="19"/>
        <v>9.0930970303786795E-32</v>
      </c>
      <c r="G29" s="29">
        <v>0.38694029000000002</v>
      </c>
      <c r="H29">
        <f t="shared" si="20"/>
        <v>4.8313942844202361E-8</v>
      </c>
      <c r="I29">
        <f t="shared" si="21"/>
        <v>1.1353776837312594E-18</v>
      </c>
      <c r="J29">
        <f t="shared" si="22"/>
        <v>9.5447226474549091E-2</v>
      </c>
      <c r="K29">
        <f t="shared" si="23"/>
        <v>2.2430098752797329E-12</v>
      </c>
      <c r="L29">
        <f t="shared" si="24"/>
        <v>1191768333178.4871</v>
      </c>
      <c r="M29" s="4">
        <f t="shared" si="25"/>
        <v>28.006556493056461</v>
      </c>
      <c r="N29">
        <f t="shared" si="26"/>
        <v>28.61435767961548</v>
      </c>
      <c r="O29">
        <f t="shared" si="27"/>
        <v>3.3645153982895816E-9</v>
      </c>
      <c r="P29">
        <f t="shared" si="14"/>
        <v>2.291571437775034E-12</v>
      </c>
    </row>
    <row r="30" spans="1:16">
      <c r="A30">
        <f t="shared" si="15"/>
        <v>1.2E-5</v>
      </c>
      <c r="B30" s="3">
        <v>12</v>
      </c>
      <c r="C30">
        <f t="shared" si="16"/>
        <v>24982704000000</v>
      </c>
      <c r="D30">
        <f t="shared" si="17"/>
        <v>24.982703999999998</v>
      </c>
      <c r="E30" s="3">
        <f t="shared" si="18"/>
        <v>1.1845375000000001E-19</v>
      </c>
      <c r="F30">
        <f t="shared" si="19"/>
        <v>2.7836631909337191E-30</v>
      </c>
      <c r="G30" s="29">
        <v>11.845375000000001</v>
      </c>
      <c r="H30">
        <f t="shared" si="20"/>
        <v>2.4660791449499998E-7</v>
      </c>
      <c r="I30">
        <f t="shared" si="21"/>
        <v>5.7952861278993815E-18</v>
      </c>
      <c r="J30">
        <f t="shared" si="22"/>
        <v>7.1557200321799499</v>
      </c>
      <c r="K30">
        <f t="shared" si="23"/>
        <v>1.6815942473924526E-10</v>
      </c>
      <c r="L30">
        <f t="shared" si="24"/>
        <v>14897436289235.18</v>
      </c>
      <c r="M30" s="4">
        <f t="shared" si="25"/>
        <v>350.08976108923679</v>
      </c>
      <c r="N30">
        <f t="shared" si="26"/>
        <v>2145.2308256498663</v>
      </c>
      <c r="O30">
        <f t="shared" si="27"/>
        <v>6.1772860651667701E-7</v>
      </c>
      <c r="P30">
        <f t="shared" si="14"/>
        <v>1.0303713156698171E-9</v>
      </c>
    </row>
    <row r="31" spans="1:16">
      <c r="A31">
        <f t="shared" si="15"/>
        <v>2.5000000000000001E-5</v>
      </c>
      <c r="B31" s="3">
        <v>25</v>
      </c>
      <c r="C31">
        <f t="shared" si="16"/>
        <v>11991697920000</v>
      </c>
      <c r="D31">
        <f t="shared" si="17"/>
        <v>11.99169792</v>
      </c>
      <c r="E31" s="3">
        <f t="shared" si="18"/>
        <v>2.0591958999999998E-19</v>
      </c>
      <c r="F31">
        <f t="shared" si="19"/>
        <v>4.8391104796189491E-30</v>
      </c>
      <c r="G31" s="29">
        <v>20.591958999999999</v>
      </c>
      <c r="H31">
        <f t="shared" si="20"/>
        <v>9.8773020763610102E-8</v>
      </c>
      <c r="I31">
        <f t="shared" si="21"/>
        <v>2.3211660429238702E-18</v>
      </c>
      <c r="J31">
        <f t="shared" si="22"/>
        <v>25.915581242701649</v>
      </c>
      <c r="K31">
        <f t="shared" si="23"/>
        <v>6.0901617362861794E-10</v>
      </c>
      <c r="L31">
        <f t="shared" si="24"/>
        <v>12430872867347.854</v>
      </c>
      <c r="M31" s="4">
        <f t="shared" si="25"/>
        <v>292.12551930194621</v>
      </c>
      <c r="N31">
        <f t="shared" si="26"/>
        <v>7769.2955420924091</v>
      </c>
      <c r="O31">
        <f t="shared" si="27"/>
        <v>4.6608388743931289E-6</v>
      </c>
      <c r="P31">
        <f t="shared" si="14"/>
        <v>1.6196415088516122E-8</v>
      </c>
    </row>
    <row r="32" spans="1:16">
      <c r="A32">
        <f t="shared" si="15"/>
        <v>6.0000000000000002E-5</v>
      </c>
      <c r="B32" s="3">
        <v>60</v>
      </c>
      <c r="C32">
        <f t="shared" si="16"/>
        <v>4996540800000</v>
      </c>
      <c r="D32">
        <f t="shared" si="17"/>
        <v>4.9965408</v>
      </c>
      <c r="E32" s="3">
        <f t="shared" si="18"/>
        <v>5.6758812E-20</v>
      </c>
      <c r="F32">
        <f t="shared" si="19"/>
        <v>1.3338321135930863E-30</v>
      </c>
      <c r="G32" s="29">
        <v>5.6758812000000001</v>
      </c>
      <c r="H32">
        <f t="shared" si="20"/>
        <v>4.7266286652921598E-9</v>
      </c>
      <c r="I32">
        <f t="shared" si="21"/>
        <v>1.1107577626530151E-19</v>
      </c>
      <c r="J32">
        <f t="shared" si="22"/>
        <v>17.143829048516224</v>
      </c>
      <c r="K32">
        <f t="shared" si="23"/>
        <v>4.0287999218272834E-10</v>
      </c>
      <c r="L32">
        <f t="shared" si="24"/>
        <v>1427664021818.9414</v>
      </c>
      <c r="M32" s="4">
        <f t="shared" si="25"/>
        <v>33.550105307411378</v>
      </c>
      <c r="N32">
        <f t="shared" si="26"/>
        <v>5139.5904785481889</v>
      </c>
      <c r="O32">
        <f t="shared" si="27"/>
        <v>7.3998378785606285E-6</v>
      </c>
      <c r="P32">
        <f t="shared" si="14"/>
        <v>6.1714647907195643E-8</v>
      </c>
    </row>
    <row r="33" spans="1:16">
      <c r="A33">
        <f t="shared" si="15"/>
        <v>1E-4</v>
      </c>
      <c r="B33" s="3">
        <v>100</v>
      </c>
      <c r="C33">
        <f t="shared" si="16"/>
        <v>2997924480000</v>
      </c>
      <c r="D33">
        <f t="shared" si="17"/>
        <v>2.99792448</v>
      </c>
      <c r="E33" s="3">
        <f t="shared" si="18"/>
        <v>1.9649892E-20</v>
      </c>
      <c r="F33">
        <f t="shared" si="19"/>
        <v>4.6177247293752168E-31</v>
      </c>
      <c r="G33" s="29">
        <v>1.9649892</v>
      </c>
      <c r="H33">
        <f t="shared" si="20"/>
        <v>5.8908892256156156E-10</v>
      </c>
      <c r="I33">
        <f t="shared" si="21"/>
        <v>1.3843590008095337E-20</v>
      </c>
      <c r="J33">
        <f t="shared" si="22"/>
        <v>9.8919849740631918</v>
      </c>
      <c r="K33">
        <f t="shared" si="23"/>
        <v>2.3246165239656108E-10</v>
      </c>
      <c r="L33">
        <f t="shared" si="24"/>
        <v>296554239095.36206</v>
      </c>
      <c r="M33" s="4">
        <f t="shared" si="25"/>
        <v>6.9690247838090107</v>
      </c>
      <c r="N33">
        <f t="shared" si="26"/>
        <v>2965.5423909536207</v>
      </c>
      <c r="O33">
        <f t="shared" si="27"/>
        <v>7.1161742706443081E-6</v>
      </c>
      <c r="P33">
        <f t="shared" si="14"/>
        <v>9.8914822361955865E-8</v>
      </c>
    </row>
    <row r="34" spans="1:16">
      <c r="A34">
        <f t="shared" si="15"/>
        <v>1.3999999999999999E-4</v>
      </c>
      <c r="B34" s="3">
        <v>140</v>
      </c>
      <c r="C34">
        <f t="shared" si="16"/>
        <v>2141374628571.4285</v>
      </c>
      <c r="D34">
        <f t="shared" si="17"/>
        <v>2.1413746285714286</v>
      </c>
      <c r="E34" s="3">
        <f t="shared" si="18"/>
        <v>9.2540247999999993E-21</v>
      </c>
      <c r="F34">
        <f t="shared" si="19"/>
        <v>2.1746958795097469E-31</v>
      </c>
      <c r="G34" s="29">
        <v>0.92540248000000003</v>
      </c>
      <c r="H34">
        <f t="shared" si="20"/>
        <v>1.4154524227779134E-10</v>
      </c>
      <c r="I34">
        <f t="shared" si="21"/>
        <v>3.3263132723150003E-21</v>
      </c>
      <c r="J34">
        <f t="shared" si="22"/>
        <v>6.5220177281224441</v>
      </c>
      <c r="K34">
        <f t="shared" si="23"/>
        <v>1.5326742024116253E-10</v>
      </c>
      <c r="L34">
        <f t="shared" si="24"/>
        <v>99757737786.389069</v>
      </c>
      <c r="M34" s="4">
        <f t="shared" si="25"/>
        <v>2.344306893507289</v>
      </c>
      <c r="N34">
        <f t="shared" si="26"/>
        <v>1955.2516606132253</v>
      </c>
      <c r="O34">
        <f t="shared" si="27"/>
        <v>6.5686048674497602E-6</v>
      </c>
      <c r="P34">
        <f t="shared" si="14"/>
        <v>1.2782505072057232E-7</v>
      </c>
    </row>
    <row r="35" spans="1:16">
      <c r="A35">
        <f t="shared" si="15"/>
        <v>2.4000000000000001E-4</v>
      </c>
      <c r="B35" s="3">
        <v>240</v>
      </c>
      <c r="C35">
        <f t="shared" si="16"/>
        <v>1249135200000</v>
      </c>
      <c r="D35">
        <f t="shared" si="17"/>
        <v>1.2491352</v>
      </c>
      <c r="E35" s="3">
        <f t="shared" si="18"/>
        <v>2.9126542E-21</v>
      </c>
      <c r="F35">
        <f t="shared" si="19"/>
        <v>6.8447375321241395E-32</v>
      </c>
      <c r="G35" s="29">
        <v>0.29126542</v>
      </c>
      <c r="H35">
        <f t="shared" si="20"/>
        <v>1.5159578694366E-11</v>
      </c>
      <c r="I35">
        <f t="shared" si="21"/>
        <v>3.5625010775572474E-22</v>
      </c>
      <c r="J35">
        <f t="shared" si="22"/>
        <v>3.5190338855043533</v>
      </c>
      <c r="K35">
        <f t="shared" si="23"/>
        <v>8.2697298268116728E-11</v>
      </c>
      <c r="L35">
        <f t="shared" si="24"/>
        <v>18315621234.901073</v>
      </c>
      <c r="M35" s="4">
        <f t="shared" si="25"/>
        <v>0.43041710921501519</v>
      </c>
      <c r="N35">
        <f t="shared" si="26"/>
        <v>1054.9797831303017</v>
      </c>
      <c r="O35">
        <f t="shared" si="27"/>
        <v>6.0757209298344597E-6</v>
      </c>
      <c r="P35">
        <f t="shared" si="14"/>
        <v>2.0268605021927755E-7</v>
      </c>
    </row>
    <row r="36" spans="1:16">
      <c r="B36" s="23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4:P181"/>
  <sheetViews>
    <sheetView zoomScale="90" zoomScaleNormal="90" workbookViewId="0">
      <selection activeCell="D7" sqref="D7"/>
    </sheetView>
  </sheetViews>
  <sheetFormatPr defaultRowHeight="15"/>
  <cols>
    <col min="1" max="1" width="15.42578125" style="26" bestFit="1" customWidth="1"/>
    <col min="2" max="2" width="21" style="26" bestFit="1" customWidth="1"/>
    <col min="3" max="3" width="15.42578125" style="26" bestFit="1" customWidth="1"/>
    <col min="4" max="4" width="9.140625" style="26"/>
    <col min="5" max="5" width="18.85546875" style="26" bestFit="1" customWidth="1"/>
    <col min="6" max="6" width="22.42578125" style="26" bestFit="1" customWidth="1"/>
    <col min="7" max="7" width="27" style="24" bestFit="1" customWidth="1"/>
    <col min="8" max="8" width="30.5703125" style="26" bestFit="1" customWidth="1"/>
    <col min="9" max="9" width="23.5703125" style="26" bestFit="1" customWidth="1"/>
    <col min="10" max="11" width="27.140625" style="26" bestFit="1" customWidth="1"/>
    <col min="12" max="12" width="26.42578125" style="26" bestFit="1" customWidth="1"/>
    <col min="13" max="13" width="30.5703125" style="26" bestFit="1" customWidth="1"/>
    <col min="14" max="14" width="10.7109375" style="26" bestFit="1" customWidth="1"/>
    <col min="15" max="15" width="12" style="26" bestFit="1" customWidth="1"/>
    <col min="16" max="16" width="16.28515625" style="26" customWidth="1"/>
    <col min="17" max="16384" width="9.140625" style="26"/>
  </cols>
  <sheetData>
    <row r="4" spans="1:16">
      <c r="P4" s="10"/>
    </row>
    <row r="6" spans="1:16" s="10" customFormat="1">
      <c r="E6" s="10" t="s">
        <v>15</v>
      </c>
      <c r="F6" s="10" t="s">
        <v>16</v>
      </c>
      <c r="G6" s="27" t="s">
        <v>31</v>
      </c>
      <c r="H6" s="10" t="s">
        <v>17</v>
      </c>
      <c r="I6" s="10" t="s">
        <v>18</v>
      </c>
      <c r="J6" s="10" t="s">
        <v>19</v>
      </c>
      <c r="K6" s="10" t="s">
        <v>20</v>
      </c>
      <c r="L6" s="10" t="s">
        <v>21</v>
      </c>
      <c r="M6" s="10" t="s">
        <v>22</v>
      </c>
      <c r="N6" s="13" t="s">
        <v>26</v>
      </c>
      <c r="O6" s="10" t="s">
        <v>6</v>
      </c>
      <c r="P6" s="10" t="s">
        <v>26</v>
      </c>
    </row>
    <row r="7" spans="1:16" s="8" customFormat="1">
      <c r="A7" s="26" t="s">
        <v>9</v>
      </c>
      <c r="B7" s="7" t="s">
        <v>0</v>
      </c>
      <c r="C7" s="8" t="s">
        <v>1</v>
      </c>
      <c r="D7" s="30" t="s">
        <v>34</v>
      </c>
      <c r="E7" s="1" t="s">
        <v>12</v>
      </c>
      <c r="F7" s="1" t="s">
        <v>10</v>
      </c>
      <c r="G7" s="28" t="s">
        <v>14</v>
      </c>
      <c r="H7" s="1" t="s">
        <v>11</v>
      </c>
      <c r="I7" s="1" t="s">
        <v>2</v>
      </c>
      <c r="J7" s="1" t="s">
        <v>13</v>
      </c>
      <c r="K7" s="1" t="s">
        <v>4</v>
      </c>
      <c r="L7" s="1" t="s">
        <v>7</v>
      </c>
      <c r="M7" s="1" t="s">
        <v>3</v>
      </c>
      <c r="N7" s="14" t="s">
        <v>32</v>
      </c>
      <c r="O7" s="1" t="s">
        <v>28</v>
      </c>
      <c r="P7" s="26" t="s">
        <v>30</v>
      </c>
    </row>
    <row r="8" spans="1:16" s="8" customFormat="1">
      <c r="A8" s="26">
        <f t="shared" ref="A8:A25" si="0">B8/1000000</f>
        <v>1.3924900000000001E-7</v>
      </c>
      <c r="B8" s="30">
        <v>0.13924900000000001</v>
      </c>
      <c r="C8" s="26">
        <f t="shared" ref="C8:C25" si="1">wavelength_to_freq(B8)</f>
        <v>2152923525483127.2</v>
      </c>
      <c r="D8" s="26">
        <f t="shared" ref="D8:D25" si="2">C8/1000000000000</f>
        <v>2152.9235254831274</v>
      </c>
      <c r="E8" s="3">
        <f t="shared" ref="E8:E25" si="3">G8*1E-20</f>
        <v>1.5295632490700196E-23</v>
      </c>
      <c r="F8" s="26">
        <f t="shared" ref="F8:F25" si="4">sr_to_arcsec2(E8)</f>
        <v>3.5944737204530861E-34</v>
      </c>
      <c r="G8" s="31">
        <v>1.5295632490700197E-3</v>
      </c>
      <c r="H8" s="26">
        <f t="shared" ref="H8:H25" si="5">Inu_to_Ilambda(E8,B8)</f>
        <v>2.3648519577427862E-7</v>
      </c>
      <c r="I8" s="26">
        <f t="shared" ref="I8:I25" si="6">sr_to_arcsec2(H8)</f>
        <v>5.5574022323279228E-18</v>
      </c>
      <c r="J8" s="26">
        <f t="shared" ref="J8:J25" si="7">Inu_to_Nnu(E8,C8)</f>
        <v>1.0722172884263185E-5</v>
      </c>
      <c r="K8" s="26">
        <f t="shared" ref="K8:K25" si="8">sr_to_arcsec2(J8)</f>
        <v>2.5197106874836004E-16</v>
      </c>
      <c r="L8" s="26">
        <f t="shared" ref="L8:L25" si="9">Ilambda_to_Nlambda(H8,B8)</f>
        <v>165775109672.79825</v>
      </c>
      <c r="M8" s="4">
        <f t="shared" ref="M8:M25" si="10">sr_to_arcsec2(L8)</f>
        <v>3.89571516958449</v>
      </c>
      <c r="N8" s="26">
        <f t="shared" ref="N8:N25" si="11">L8*A8^2</f>
        <v>3.2144264568524802E-3</v>
      </c>
      <c r="O8" s="26">
        <f t="shared" ref="O8:O25" si="12">Inu_to_Antenna_Temperature(E8,C8)</f>
        <v>1.0740834323464219E-14</v>
      </c>
      <c r="P8" s="26">
        <f t="shared" ref="P8:P71" si="13">0.000139*O8*B8</f>
        <v>2.0789541098042163E-19</v>
      </c>
    </row>
    <row r="9" spans="1:16" s="8" customFormat="1">
      <c r="A9" s="26">
        <f t="shared" si="0"/>
        <v>1.61864E-7</v>
      </c>
      <c r="B9" s="30">
        <v>0.16186400000000001</v>
      </c>
      <c r="C9" s="26">
        <f t="shared" si="1"/>
        <v>1852125537488261.7</v>
      </c>
      <c r="D9" s="26">
        <f t="shared" si="2"/>
        <v>1852.1255374882617</v>
      </c>
      <c r="E9" s="3">
        <f t="shared" si="3"/>
        <v>1.9623818952071925E-23</v>
      </c>
      <c r="F9" s="26">
        <f t="shared" si="4"/>
        <v>4.6115975629669917E-34</v>
      </c>
      <c r="G9" s="31">
        <v>1.9623818952071927E-3</v>
      </c>
      <c r="H9" s="26">
        <f t="shared" si="5"/>
        <v>2.2454515039896794E-7</v>
      </c>
      <c r="I9" s="26">
        <f t="shared" si="6"/>
        <v>5.2768111593620543E-18</v>
      </c>
      <c r="J9" s="26">
        <f t="shared" si="7"/>
        <v>1.599031713691665E-5</v>
      </c>
      <c r="K9" s="26">
        <f t="shared" si="8"/>
        <v>3.7577246161807061E-16</v>
      </c>
      <c r="L9" s="26">
        <f t="shared" si="9"/>
        <v>182968879564.44614</v>
      </c>
      <c r="M9" s="4">
        <f t="shared" si="10"/>
        <v>4.2997687716086102</v>
      </c>
      <c r="N9" s="26">
        <f t="shared" si="11"/>
        <v>4.793776318772593E-3</v>
      </c>
      <c r="O9" s="26">
        <f t="shared" si="12"/>
        <v>1.8619605400935976E-14</v>
      </c>
      <c r="P9" s="26">
        <f t="shared" si="13"/>
        <v>4.18924289397777E-19</v>
      </c>
    </row>
    <row r="10" spans="1:16" s="8" customFormat="1">
      <c r="A10" s="26">
        <f t="shared" si="0"/>
        <v>1.7190700000000001E-7</v>
      </c>
      <c r="B10" s="30">
        <v>0.171907</v>
      </c>
      <c r="C10" s="26">
        <f t="shared" si="1"/>
        <v>1743922283560297</v>
      </c>
      <c r="D10" s="26">
        <f t="shared" si="2"/>
        <v>1743.922283560297</v>
      </c>
      <c r="E10" s="3">
        <f t="shared" si="3"/>
        <v>2.1361921637819157E-23</v>
      </c>
      <c r="F10" s="26">
        <f t="shared" si="4"/>
        <v>5.0200517037922168E-34</v>
      </c>
      <c r="G10" s="31">
        <v>2.1361921637819158E-3</v>
      </c>
      <c r="H10" s="26">
        <f t="shared" si="5"/>
        <v>2.1670747068974332E-7</v>
      </c>
      <c r="I10" s="26">
        <f t="shared" si="6"/>
        <v>5.0926256818326667E-18</v>
      </c>
      <c r="J10" s="26">
        <f t="shared" si="7"/>
        <v>1.8486604890000331E-5</v>
      </c>
      <c r="K10" s="26">
        <f t="shared" si="8"/>
        <v>4.3443522520502065E-16</v>
      </c>
      <c r="L10" s="26">
        <f t="shared" si="9"/>
        <v>187538623878.29654</v>
      </c>
      <c r="M10" s="4">
        <f t="shared" si="10"/>
        <v>4.4071577655277059</v>
      </c>
      <c r="N10" s="26">
        <f t="shared" si="11"/>
        <v>5.5421445351819688E-3</v>
      </c>
      <c r="O10" s="26">
        <f t="shared" si="12"/>
        <v>2.2861980383520244E-14</v>
      </c>
      <c r="P10" s="26">
        <f t="shared" si="13"/>
        <v>5.4628869018878422E-19</v>
      </c>
    </row>
    <row r="11" spans="1:16" s="8" customFormat="1">
      <c r="A11" s="26">
        <f t="shared" si="0"/>
        <v>1.8534200000000002E-7</v>
      </c>
      <c r="B11" s="30">
        <v>0.18534200000000001</v>
      </c>
      <c r="C11" s="26">
        <f t="shared" si="1"/>
        <v>1617509512145115.5</v>
      </c>
      <c r="D11" s="26">
        <f t="shared" si="2"/>
        <v>1617.5095121451154</v>
      </c>
      <c r="E11" s="3">
        <f t="shared" si="3"/>
        <v>2.0867162078593226E-23</v>
      </c>
      <c r="F11" s="26">
        <f t="shared" si="4"/>
        <v>4.9037832046201927E-34</v>
      </c>
      <c r="G11" s="31">
        <v>2.0867162078593228E-3</v>
      </c>
      <c r="H11" s="26">
        <f t="shared" si="5"/>
        <v>1.8211108736065427E-7</v>
      </c>
      <c r="I11" s="26">
        <f t="shared" si="6"/>
        <v>4.2796106543420376E-18</v>
      </c>
      <c r="J11" s="26">
        <f t="shared" si="7"/>
        <v>1.9469756260310193E-5</v>
      </c>
      <c r="K11" s="26">
        <f t="shared" si="8"/>
        <v>4.5753928295454409E-16</v>
      </c>
      <c r="L11" s="26">
        <f t="shared" si="9"/>
        <v>169915701515.02979</v>
      </c>
      <c r="M11" s="4">
        <f t="shared" si="10"/>
        <v>3.993019080181667</v>
      </c>
      <c r="N11" s="26">
        <f t="shared" si="11"/>
        <v>5.8368858912417202E-3</v>
      </c>
      <c r="O11" s="26">
        <f t="shared" si="12"/>
        <v>2.5959569551645902E-14</v>
      </c>
      <c r="P11" s="26">
        <f t="shared" si="13"/>
        <v>6.687843970379205E-19</v>
      </c>
    </row>
    <row r="12" spans="1:16" s="8" customFormat="1">
      <c r="A12" s="26">
        <f t="shared" si="0"/>
        <v>2.3228099999999999E-7</v>
      </c>
      <c r="B12" s="30">
        <v>0.23228099999999999</v>
      </c>
      <c r="C12" s="26">
        <f t="shared" si="1"/>
        <v>1290645588748111.2</v>
      </c>
      <c r="D12" s="26">
        <f t="shared" si="2"/>
        <v>1290.6455887481113</v>
      </c>
      <c r="E12" s="3">
        <f t="shared" si="3"/>
        <v>2.3694450173488927E-23</v>
      </c>
      <c r="F12" s="26">
        <f t="shared" si="4"/>
        <v>5.5681959226579318E-34</v>
      </c>
      <c r="G12" s="31">
        <v>2.3694450173488927E-3</v>
      </c>
      <c r="H12" s="26">
        <f t="shared" si="5"/>
        <v>1.3165578585517284E-7</v>
      </c>
      <c r="I12" s="26">
        <f t="shared" si="6"/>
        <v>3.0939110408787969E-18</v>
      </c>
      <c r="J12" s="26">
        <f t="shared" si="7"/>
        <v>2.7706623469203828E-5</v>
      </c>
      <c r="K12" s="26">
        <f t="shared" si="8"/>
        <v>6.5110566694834901E-16</v>
      </c>
      <c r="L12" s="26">
        <f t="shared" si="9"/>
        <v>153949015888.65558</v>
      </c>
      <c r="M12" s="4">
        <f t="shared" si="10"/>
        <v>3.6178019590744976</v>
      </c>
      <c r="N12" s="26">
        <f t="shared" si="11"/>
        <v>8.3062364756468672E-3</v>
      </c>
      <c r="O12" s="26">
        <f t="shared" si="12"/>
        <v>4.6297806654367056E-14</v>
      </c>
      <c r="P12" s="26">
        <f t="shared" si="13"/>
        <v>1.4948200150201416E-18</v>
      </c>
    </row>
    <row r="13" spans="1:16" s="8" customFormat="1">
      <c r="A13" s="26">
        <f t="shared" si="0"/>
        <v>2.43008E-7</v>
      </c>
      <c r="B13" s="30">
        <v>0.243008</v>
      </c>
      <c r="C13" s="26">
        <f t="shared" si="1"/>
        <v>1233673163023439.5</v>
      </c>
      <c r="D13" s="26">
        <f t="shared" si="2"/>
        <v>1233.6731630234394</v>
      </c>
      <c r="E13" s="3">
        <f t="shared" si="3"/>
        <v>3.2517050668698393E-23</v>
      </c>
      <c r="F13" s="26">
        <f t="shared" si="4"/>
        <v>7.6415070881405096E-34</v>
      </c>
      <c r="G13" s="31">
        <v>3.2517050668698392E-3</v>
      </c>
      <c r="H13" s="26">
        <f t="shared" si="5"/>
        <v>1.650785684037011E-7</v>
      </c>
      <c r="I13" s="26">
        <f t="shared" si="6"/>
        <v>3.8793464493729981E-18</v>
      </c>
      <c r="J13" s="26">
        <f t="shared" si="7"/>
        <v>3.9779104222561428E-5</v>
      </c>
      <c r="K13" s="26">
        <f t="shared" si="8"/>
        <v>9.3480897137203608E-16</v>
      </c>
      <c r="L13" s="26">
        <f t="shared" si="9"/>
        <v>201945669807.11096</v>
      </c>
      <c r="M13" s="4">
        <f t="shared" si="10"/>
        <v>4.7457233528740934</v>
      </c>
      <c r="N13" s="26">
        <f t="shared" si="11"/>
        <v>1.192547503412883E-2</v>
      </c>
      <c r="O13" s="26">
        <f t="shared" si="12"/>
        <v>6.9540642256627418E-14</v>
      </c>
      <c r="P13" s="26">
        <f t="shared" si="13"/>
        <v>2.3489516026962936E-18</v>
      </c>
    </row>
    <row r="14" spans="1:16" s="8" customFormat="1">
      <c r="A14" s="26">
        <f t="shared" si="0"/>
        <v>2.58086E-7</v>
      </c>
      <c r="B14" s="30">
        <v>0.25808599999999998</v>
      </c>
      <c r="C14" s="26">
        <f t="shared" si="1"/>
        <v>1161599032880512.7</v>
      </c>
      <c r="D14" s="26">
        <f t="shared" si="2"/>
        <v>1161.5990328805128</v>
      </c>
      <c r="E14" s="3">
        <f t="shared" si="3"/>
        <v>5.2528764637452139E-23</v>
      </c>
      <c r="F14" s="26">
        <f t="shared" si="4"/>
        <v>1.234425998218683E-33</v>
      </c>
      <c r="G14" s="31">
        <v>5.2528764637452142E-3</v>
      </c>
      <c r="H14" s="26">
        <f t="shared" si="5"/>
        <v>2.3642259634878489E-7</v>
      </c>
      <c r="I14" s="26">
        <f t="shared" si="6"/>
        <v>5.5559311457939754E-18</v>
      </c>
      <c r="J14" s="26">
        <f t="shared" si="7"/>
        <v>6.8247211949809102E-5</v>
      </c>
      <c r="K14" s="26">
        <f t="shared" si="8"/>
        <v>1.6038095188082728E-15</v>
      </c>
      <c r="L14" s="26">
        <f t="shared" si="9"/>
        <v>307168522886.51709</v>
      </c>
      <c r="M14" s="4">
        <f t="shared" si="10"/>
        <v>7.2184604588092753</v>
      </c>
      <c r="N14" s="26">
        <f t="shared" si="11"/>
        <v>2.0459998739608128E-2</v>
      </c>
      <c r="O14" s="26">
        <f t="shared" si="12"/>
        <v>1.2671046596526384E-13</v>
      </c>
      <c r="P14" s="26">
        <f t="shared" si="13"/>
        <v>4.5456054273564404E-18</v>
      </c>
    </row>
    <row r="15" spans="1:16" s="8" customFormat="1">
      <c r="A15" s="26">
        <f t="shared" si="0"/>
        <v>2.78256E-7</v>
      </c>
      <c r="B15" s="30">
        <v>0.278256</v>
      </c>
      <c r="C15" s="26">
        <f t="shared" si="1"/>
        <v>1077397964464378.1</v>
      </c>
      <c r="D15" s="26">
        <f t="shared" si="2"/>
        <v>1077.3979644643782</v>
      </c>
      <c r="E15" s="3">
        <f t="shared" si="3"/>
        <v>8.6143073580441845E-23</v>
      </c>
      <c r="F15" s="26">
        <f t="shared" si="4"/>
        <v>2.0243622770893356E-33</v>
      </c>
      <c r="G15" s="31">
        <v>8.6143073580441844E-3</v>
      </c>
      <c r="H15" s="26">
        <f t="shared" si="5"/>
        <v>3.3354311184043897E-7</v>
      </c>
      <c r="I15" s="26">
        <f t="shared" si="6"/>
        <v>7.8382633139070617E-18</v>
      </c>
      <c r="J15" s="26">
        <f t="shared" si="7"/>
        <v>1.206669071402579E-4</v>
      </c>
      <c r="K15" s="26">
        <f t="shared" si="8"/>
        <v>2.835672384961667E-15</v>
      </c>
      <c r="L15" s="26">
        <f t="shared" si="9"/>
        <v>467218245540.53101</v>
      </c>
      <c r="M15" s="4">
        <f t="shared" si="10"/>
        <v>10.979629030265469</v>
      </c>
      <c r="N15" s="26">
        <f t="shared" si="11"/>
        <v>3.6175027484166594E-2</v>
      </c>
      <c r="O15" s="26">
        <f t="shared" si="12"/>
        <v>2.4154377319295277E-13</v>
      </c>
      <c r="P15" s="26">
        <f t="shared" si="13"/>
        <v>9.342329577347379E-18</v>
      </c>
    </row>
    <row r="16" spans="1:16" s="8" customFormat="1">
      <c r="A16" s="26">
        <f t="shared" si="0"/>
        <v>3.13857E-7</v>
      </c>
      <c r="B16" s="30">
        <v>0.313857</v>
      </c>
      <c r="C16" s="26">
        <f t="shared" si="1"/>
        <v>955188025119720.12</v>
      </c>
      <c r="D16" s="26">
        <f t="shared" si="2"/>
        <v>955.18802511972012</v>
      </c>
      <c r="E16" s="3">
        <f t="shared" si="3"/>
        <v>1.4067629909209862E-22</v>
      </c>
      <c r="F16" s="26">
        <f t="shared" si="4"/>
        <v>3.3058931069675506E-33</v>
      </c>
      <c r="G16" s="31">
        <v>1.4067629909209864E-2</v>
      </c>
      <c r="H16" s="26">
        <f t="shared" si="5"/>
        <v>4.2813229053655885E-7</v>
      </c>
      <c r="I16" s="26">
        <f t="shared" si="6"/>
        <v>1.0061109065916102E-17</v>
      </c>
      <c r="J16" s="26">
        <f t="shared" si="7"/>
        <v>2.2226753539543811E-4</v>
      </c>
      <c r="K16" s="26">
        <f t="shared" si="8"/>
        <v>5.2232872055113375E-15</v>
      </c>
      <c r="L16" s="26">
        <f t="shared" si="9"/>
        <v>676445923406.50684</v>
      </c>
      <c r="M16" s="4">
        <f t="shared" si="10"/>
        <v>15.896479576576198</v>
      </c>
      <c r="N16" s="26">
        <f t="shared" si="11"/>
        <v>6.6634128547125041E-2</v>
      </c>
      <c r="O16" s="26">
        <f t="shared" si="12"/>
        <v>5.0184659316815415E-13</v>
      </c>
      <c r="P16" s="26">
        <f t="shared" si="13"/>
        <v>2.1893621200684852E-17</v>
      </c>
    </row>
    <row r="17" spans="1:16" s="8" customFormat="1">
      <c r="A17" s="26">
        <f t="shared" si="0"/>
        <v>3.38386E-7</v>
      </c>
      <c r="B17" s="30">
        <v>0.33838600000000002</v>
      </c>
      <c r="C17" s="26">
        <f t="shared" si="1"/>
        <v>885948142062614.87</v>
      </c>
      <c r="D17" s="26">
        <f t="shared" si="2"/>
        <v>885.94814206261492</v>
      </c>
      <c r="E17" s="3">
        <f t="shared" si="3"/>
        <v>2.3646103052567577E-22</v>
      </c>
      <c r="F17" s="26">
        <f t="shared" si="4"/>
        <v>5.5568343489723045E-33</v>
      </c>
      <c r="G17" s="31">
        <v>2.3646103052567577E-2</v>
      </c>
      <c r="H17" s="26">
        <f t="shared" si="5"/>
        <v>6.1909242895519819E-7</v>
      </c>
      <c r="I17" s="26">
        <f t="shared" si="6"/>
        <v>1.4548672425046346E-17</v>
      </c>
      <c r="J17" s="26">
        <f t="shared" si="7"/>
        <v>4.0280536371751705E-4</v>
      </c>
      <c r="K17" s="26">
        <f t="shared" si="8"/>
        <v>9.4659262715711469E-15</v>
      </c>
      <c r="L17" s="26">
        <f t="shared" si="9"/>
        <v>1054608239106.7894</v>
      </c>
      <c r="M17" s="4">
        <f t="shared" si="10"/>
        <v>24.783294206025523</v>
      </c>
      <c r="N17" s="26">
        <f t="shared" si="11"/>
        <v>0.1207580060564048</v>
      </c>
      <c r="O17" s="26">
        <f t="shared" si="12"/>
        <v>9.8055229121166463E-13</v>
      </c>
      <c r="P17" s="26">
        <f t="shared" si="13"/>
        <v>4.6120918298339099E-17</v>
      </c>
    </row>
    <row r="18" spans="1:16" s="8" customFormat="1">
      <c r="A18" s="26">
        <f t="shared" si="0"/>
        <v>3.8746799999999996E-7</v>
      </c>
      <c r="B18" s="30">
        <v>0.38746799999999998</v>
      </c>
      <c r="C18" s="26">
        <f t="shared" si="1"/>
        <v>773721824770045.62</v>
      </c>
      <c r="D18" s="26">
        <f t="shared" si="2"/>
        <v>773.7218247700456</v>
      </c>
      <c r="E18" s="3">
        <f t="shared" si="3"/>
        <v>4.0180116566568252E-22</v>
      </c>
      <c r="F18" s="26">
        <f t="shared" si="4"/>
        <v>9.4423276167940784E-33</v>
      </c>
      <c r="G18" s="31">
        <v>4.0180116566568252E-2</v>
      </c>
      <c r="H18" s="26">
        <f t="shared" si="5"/>
        <v>8.0234324148983468E-7</v>
      </c>
      <c r="I18" s="26">
        <f t="shared" si="6"/>
        <v>1.885506662161136E-17</v>
      </c>
      <c r="J18" s="26">
        <f t="shared" si="7"/>
        <v>7.8373693408026923E-4</v>
      </c>
      <c r="K18" s="26">
        <f t="shared" si="8"/>
        <v>1.841781838712993E-14</v>
      </c>
      <c r="L18" s="26">
        <f t="shared" si="9"/>
        <v>1565017938968.5518</v>
      </c>
      <c r="M18" s="4">
        <f t="shared" si="10"/>
        <v>36.777922436881155</v>
      </c>
      <c r="N18" s="26">
        <f t="shared" si="11"/>
        <v>0.23495841405593848</v>
      </c>
      <c r="O18" s="26">
        <f t="shared" si="12"/>
        <v>2.1845866825792017E-12</v>
      </c>
      <c r="P18" s="26">
        <f t="shared" si="13"/>
        <v>1.1765758314885813E-16</v>
      </c>
    </row>
    <row r="19" spans="1:16" s="8" customFormat="1">
      <c r="A19" s="26">
        <f t="shared" si="0"/>
        <v>4.8559500000000003E-7</v>
      </c>
      <c r="B19" s="30">
        <v>0.485595</v>
      </c>
      <c r="C19" s="26">
        <f t="shared" si="1"/>
        <v>617371365026410.87</v>
      </c>
      <c r="D19" s="26">
        <f t="shared" si="2"/>
        <v>617.3713650264109</v>
      </c>
      <c r="E19" s="3">
        <f t="shared" si="3"/>
        <v>6.2875109544223546E-22</v>
      </c>
      <c r="F19" s="26">
        <f t="shared" si="4"/>
        <v>1.4775651092867929E-32</v>
      </c>
      <c r="G19" s="31">
        <v>6.2875109544223554E-2</v>
      </c>
      <c r="H19" s="26">
        <f t="shared" si="5"/>
        <v>7.9937586271486333E-7</v>
      </c>
      <c r="I19" s="26">
        <f t="shared" si="6"/>
        <v>1.8785333218747831E-17</v>
      </c>
      <c r="J19" s="26">
        <f t="shared" si="7"/>
        <v>1.5370084010096639E-3</v>
      </c>
      <c r="K19" s="26">
        <f t="shared" si="8"/>
        <v>3.6119698279256621E-14</v>
      </c>
      <c r="L19" s="26">
        <f t="shared" si="9"/>
        <v>1954107794743.3506</v>
      </c>
      <c r="M19" s="4">
        <f t="shared" si="10"/>
        <v>45.921534264164094</v>
      </c>
      <c r="N19" s="26">
        <f t="shared" si="11"/>
        <v>0.46078351113525284</v>
      </c>
      <c r="O19" s="26">
        <f t="shared" si="12"/>
        <v>5.3692493686244719E-12</v>
      </c>
      <c r="P19" s="26">
        <f t="shared" si="13"/>
        <v>3.6241200995485087E-16</v>
      </c>
    </row>
    <row r="20" spans="1:16" s="8" customFormat="1">
      <c r="A20" s="26">
        <f t="shared" si="0"/>
        <v>6.3668100000000009E-7</v>
      </c>
      <c r="B20" s="30">
        <v>0.63668100000000005</v>
      </c>
      <c r="C20" s="26">
        <f t="shared" si="1"/>
        <v>470867589891955.25</v>
      </c>
      <c r="D20" s="26">
        <f t="shared" si="2"/>
        <v>470.86758989195528</v>
      </c>
      <c r="E20" s="3">
        <f t="shared" si="3"/>
        <v>9.55898742317203E-22</v>
      </c>
      <c r="F20" s="26">
        <f t="shared" si="4"/>
        <v>2.2463620976526568E-32</v>
      </c>
      <c r="G20" s="31">
        <v>9.5589874231720301E-2</v>
      </c>
      <c r="H20" s="26">
        <f t="shared" si="5"/>
        <v>7.0695016338739891E-7</v>
      </c>
      <c r="I20" s="26">
        <f t="shared" si="6"/>
        <v>1.6613329233106429E-17</v>
      </c>
      <c r="J20" s="26">
        <f t="shared" si="7"/>
        <v>3.0637763553590489E-3</v>
      </c>
      <c r="K20" s="26">
        <f t="shared" si="8"/>
        <v>7.1998746056296656E-14</v>
      </c>
      <c r="L20" s="26">
        <f t="shared" si="9"/>
        <v>2265864676998.1729</v>
      </c>
      <c r="M20" s="4">
        <f t="shared" si="10"/>
        <v>53.247821170682521</v>
      </c>
      <c r="N20" s="26">
        <f t="shared" si="11"/>
        <v>0.91849701369760717</v>
      </c>
      <c r="O20" s="26">
        <f t="shared" si="12"/>
        <v>1.4032727024483326E-11</v>
      </c>
      <c r="P20" s="26">
        <f t="shared" si="13"/>
        <v>1.2418775237798346E-15</v>
      </c>
    </row>
    <row r="21" spans="1:16" s="8" customFormat="1">
      <c r="A21" s="26">
        <f t="shared" si="0"/>
        <v>8.1002200000000005E-7</v>
      </c>
      <c r="B21" s="30">
        <v>0.81002200000000002</v>
      </c>
      <c r="C21" s="26">
        <f t="shared" si="1"/>
        <v>370104081123722.56</v>
      </c>
      <c r="D21" s="26">
        <f t="shared" si="2"/>
        <v>370.10408112372255</v>
      </c>
      <c r="E21" s="3">
        <f t="shared" si="3"/>
        <v>1.3422837833532036E-21</v>
      </c>
      <c r="F21" s="26">
        <f t="shared" si="4"/>
        <v>3.1543669655942197E-32</v>
      </c>
      <c r="G21" s="31">
        <v>0.13422837833532036</v>
      </c>
      <c r="H21" s="26">
        <f t="shared" si="5"/>
        <v>6.1329779468361505E-7</v>
      </c>
      <c r="I21" s="26">
        <f t="shared" si="6"/>
        <v>1.4412498516438734E-17</v>
      </c>
      <c r="J21" s="26">
        <f t="shared" si="7"/>
        <v>5.4734913736766587E-3</v>
      </c>
      <c r="K21" s="26">
        <f t="shared" si="8"/>
        <v>1.2862705032805591E-13</v>
      </c>
      <c r="L21" s="26">
        <f t="shared" si="9"/>
        <v>2500872192845.6533</v>
      </c>
      <c r="M21" s="4">
        <f t="shared" si="10"/>
        <v>58.770497923908174</v>
      </c>
      <c r="N21" s="26">
        <f t="shared" si="11"/>
        <v>1.6409113780214086</v>
      </c>
      <c r="O21" s="26">
        <f t="shared" si="12"/>
        <v>3.1895130210703996E-11</v>
      </c>
      <c r="P21" s="26">
        <f t="shared" si="13"/>
        <v>3.5911702457313469E-15</v>
      </c>
    </row>
    <row r="22" spans="1:16" s="8" customFormat="1">
      <c r="A22" s="26">
        <f t="shared" si="0"/>
        <v>1.0305599999999999E-6</v>
      </c>
      <c r="B22" s="30">
        <v>1.0305599999999999</v>
      </c>
      <c r="C22" s="26">
        <f t="shared" si="1"/>
        <v>290902468560782.5</v>
      </c>
      <c r="D22" s="26">
        <f t="shared" si="2"/>
        <v>290.90246856078249</v>
      </c>
      <c r="E22" s="3">
        <f t="shared" si="3"/>
        <v>1.3677027306286898E-21</v>
      </c>
      <c r="F22" s="26">
        <f t="shared" si="4"/>
        <v>3.214101493106482E-32</v>
      </c>
      <c r="G22" s="31">
        <v>0.13677027306286899</v>
      </c>
      <c r="H22" s="26">
        <f t="shared" si="5"/>
        <v>3.8606980728653246E-7</v>
      </c>
      <c r="I22" s="26">
        <f t="shared" si="6"/>
        <v>9.0726406861276646E-18</v>
      </c>
      <c r="J22" s="26">
        <f t="shared" si="7"/>
        <v>7.095586129072325E-3</v>
      </c>
      <c r="K22" s="26">
        <f t="shared" si="8"/>
        <v>1.6674627798274434E-13</v>
      </c>
      <c r="L22" s="26">
        <f t="shared" si="9"/>
        <v>2002914455085.3779</v>
      </c>
      <c r="M22" s="4">
        <f t="shared" si="10"/>
        <v>47.068490809368498</v>
      </c>
      <c r="N22" s="26">
        <f t="shared" si="11"/>
        <v>2.1272031356294363</v>
      </c>
      <c r="O22" s="26">
        <f t="shared" si="12"/>
        <v>5.2604716572114255E-11</v>
      </c>
      <c r="P22" s="26">
        <f t="shared" si="13"/>
        <v>7.5355120227675707E-15</v>
      </c>
    </row>
    <row r="23" spans="1:16" s="8" customFormat="1">
      <c r="A23" s="26">
        <f t="shared" si="0"/>
        <v>1.25325E-6</v>
      </c>
      <c r="B23" s="30">
        <v>1.25325</v>
      </c>
      <c r="C23" s="26">
        <f t="shared" si="1"/>
        <v>239212007181328.56</v>
      </c>
      <c r="D23" s="26">
        <f t="shared" si="2"/>
        <v>239.21200718132857</v>
      </c>
      <c r="E23" s="3">
        <f t="shared" si="3"/>
        <v>1.2996100603676089E-21</v>
      </c>
      <c r="F23" s="26">
        <f t="shared" si="4"/>
        <v>3.0540837142027677E-32</v>
      </c>
      <c r="G23" s="31">
        <v>0.12996100603676089</v>
      </c>
      <c r="H23" s="26">
        <f t="shared" si="5"/>
        <v>2.4806090651792006E-7</v>
      </c>
      <c r="I23" s="26">
        <f t="shared" si="6"/>
        <v>5.8294314412467676E-18</v>
      </c>
      <c r="J23" s="26">
        <f t="shared" si="7"/>
        <v>8.1992486711822115E-3</v>
      </c>
      <c r="K23" s="26">
        <f t="shared" si="8"/>
        <v>1.9268234833664726E-13</v>
      </c>
      <c r="L23" s="26">
        <f t="shared" si="9"/>
        <v>1565017938968.552</v>
      </c>
      <c r="M23" s="4">
        <f t="shared" si="10"/>
        <v>36.777922436881163</v>
      </c>
      <c r="N23" s="26">
        <f t="shared" si="11"/>
        <v>2.4580728308944626</v>
      </c>
      <c r="O23" s="26">
        <f t="shared" si="12"/>
        <v>7.3922202571311916E-11</v>
      </c>
      <c r="P23" s="26">
        <f t="shared" si="13"/>
        <v>1.2877377051777034E-14</v>
      </c>
    </row>
    <row r="24" spans="1:16" s="8" customFormat="1">
      <c r="A24" s="26">
        <f t="shared" si="0"/>
        <v>1.5706500000000002E-6</v>
      </c>
      <c r="B24" s="30">
        <v>1.5706500000000001</v>
      </c>
      <c r="C24" s="26">
        <f t="shared" si="1"/>
        <v>190871580555820.81</v>
      </c>
      <c r="D24" s="26">
        <f t="shared" si="2"/>
        <v>190.8715805558208</v>
      </c>
      <c r="E24" s="3">
        <f t="shared" si="3"/>
        <v>1.0708104125346067E-21</v>
      </c>
      <c r="F24" s="26">
        <f t="shared" si="4"/>
        <v>2.5164045290597684E-32</v>
      </c>
      <c r="G24" s="31">
        <v>0.10708104125346068</v>
      </c>
      <c r="H24" s="26">
        <f t="shared" si="5"/>
        <v>1.3012910318410268E-7</v>
      </c>
      <c r="I24" s="26">
        <f t="shared" si="6"/>
        <v>3.0580339972588665E-18</v>
      </c>
      <c r="J24" s="26">
        <f t="shared" si="7"/>
        <v>8.4667216941378409E-3</v>
      </c>
      <c r="K24" s="26">
        <f t="shared" si="8"/>
        <v>1.9896796452498536E-13</v>
      </c>
      <c r="L24" s="26">
        <f t="shared" si="9"/>
        <v>1028909401767.6416</v>
      </c>
      <c r="M24" s="4">
        <f t="shared" si="10"/>
        <v>24.179371514251066</v>
      </c>
      <c r="N24" s="26">
        <f t="shared" si="11"/>
        <v>2.5382592232202903</v>
      </c>
      <c r="O24" s="26">
        <f t="shared" si="12"/>
        <v>9.5666047301809038E-11</v>
      </c>
      <c r="P24" s="26">
        <f t="shared" si="13"/>
        <v>2.0885844930047504E-14</v>
      </c>
    </row>
    <row r="25" spans="1:16" s="8" customFormat="1">
      <c r="A25" s="26">
        <f t="shared" si="0"/>
        <v>1.9684200000000002E-6</v>
      </c>
      <c r="B25" s="30">
        <v>1.9684200000000001</v>
      </c>
      <c r="C25" s="26">
        <f t="shared" si="1"/>
        <v>152301057701100.37</v>
      </c>
      <c r="D25" s="26">
        <f t="shared" si="2"/>
        <v>152.30105770110038</v>
      </c>
      <c r="E25" s="3">
        <f t="shared" si="3"/>
        <v>8.3980507170428298E-22</v>
      </c>
      <c r="F25" s="26">
        <f t="shared" si="4"/>
        <v>1.9735419652502898E-32</v>
      </c>
      <c r="G25" s="31">
        <v>8.3980507170428306E-2</v>
      </c>
      <c r="H25" s="26">
        <f t="shared" si="5"/>
        <v>6.497759659184052E-8</v>
      </c>
      <c r="I25" s="26">
        <f t="shared" si="6"/>
        <v>1.526973556076078E-18</v>
      </c>
      <c r="J25" s="26">
        <f t="shared" si="7"/>
        <v>8.3218434638270451E-3</v>
      </c>
      <c r="K25" s="26">
        <f t="shared" si="8"/>
        <v>1.9556332603203956E-13</v>
      </c>
      <c r="L25" s="26">
        <f t="shared" si="9"/>
        <v>643879640302.29712</v>
      </c>
      <c r="M25" s="4">
        <f t="shared" si="10"/>
        <v>15.131171905500228</v>
      </c>
      <c r="N25" s="26">
        <f t="shared" si="11"/>
        <v>2.4948258238935095</v>
      </c>
      <c r="O25" s="26">
        <f t="shared" si="12"/>
        <v>1.17842090572365E-10</v>
      </c>
      <c r="P25" s="26">
        <f t="shared" si="13"/>
        <v>3.2242819181499205E-14</v>
      </c>
    </row>
    <row r="26" spans="1:16">
      <c r="A26" s="26">
        <f>B26/1000000</f>
        <v>2.5423100000000001E-6</v>
      </c>
      <c r="B26" s="30">
        <v>2.5423100000000001</v>
      </c>
      <c r="C26" s="26">
        <f>wavelength_to_freq(B26)</f>
        <v>117921279466312.12</v>
      </c>
      <c r="D26" s="26">
        <f>C26/1000000000000</f>
        <v>117.92127946631213</v>
      </c>
      <c r="E26" s="3">
        <f>G26*1E-20</f>
        <v>6.957170041957651E-22</v>
      </c>
      <c r="F26" s="26">
        <f>sr_to_arcsec2(E26)</f>
        <v>1.6349349985850434E-32</v>
      </c>
      <c r="G26" s="31">
        <v>6.9571700419576513E-2</v>
      </c>
      <c r="H26" s="26">
        <f>Inu_to_Ilambda(E26,B26)</f>
        <v>3.2269801590378149E-8</v>
      </c>
      <c r="I26" s="26">
        <f>sr_to_arcsec2(H26)</f>
        <v>7.5834035533590145E-19</v>
      </c>
      <c r="J26" s="26">
        <f>Inu_to_Nnu(E26,C26)</f>
        <v>8.9039846816972579E-3</v>
      </c>
      <c r="K26" s="26">
        <f>sr_to_arcsec2(J26)</f>
        <v>2.0924364497602097E-13</v>
      </c>
      <c r="L26" s="26">
        <f>Ilambda_to_Nlambda(H26,B26)</f>
        <v>412998126119.23187</v>
      </c>
      <c r="M26" s="4">
        <f>sr_to_arcsec2(L26)</f>
        <v>9.7054561936849399</v>
      </c>
      <c r="N26" s="26">
        <f>L26*A26^2</f>
        <v>2.669347364680521</v>
      </c>
      <c r="O26" s="26">
        <f>Inu_to_Antenna_Temperature(E26,C26)</f>
        <v>1.6284560314641501E-10</v>
      </c>
      <c r="P26" s="26">
        <f t="shared" si="13"/>
        <v>5.7546556741587557E-14</v>
      </c>
    </row>
    <row r="27" spans="1:16">
      <c r="A27" s="26">
        <f t="shared" ref="A27:A32" si="14">B27/1000000</f>
        <v>3.0000200000000002E-6</v>
      </c>
      <c r="B27" s="30">
        <v>3.0000200000000001</v>
      </c>
      <c r="C27" s="26">
        <f t="shared" ref="C27:C32" si="15">wavelength_to_freq(B27)</f>
        <v>99930149799001.328</v>
      </c>
      <c r="D27" s="26">
        <f t="shared" ref="D27:D32" si="16">C27/1000000000000</f>
        <v>99.930149799001327</v>
      </c>
      <c r="E27" s="3">
        <f t="shared" ref="E27:E32" si="17">G27*1E-20</f>
        <v>6.2585162928524585E-22</v>
      </c>
      <c r="F27" s="26">
        <f t="shared" ref="F27:F32" si="18">sr_to_arcsec2(E27)</f>
        <v>1.4707513636564772E-32</v>
      </c>
      <c r="G27" s="31">
        <v>6.258516292852459E-2</v>
      </c>
      <c r="H27" s="26">
        <f t="shared" ref="H27:H32" si="19">Inu_to_Ilambda(E27,B27)</f>
        <v>2.0847010042074272E-8</v>
      </c>
      <c r="I27" s="26">
        <f t="shared" ref="I27:I32" si="20">sr_to_arcsec2(H27)</f>
        <v>4.8990474759260681E-19</v>
      </c>
      <c r="J27" s="26">
        <f t="shared" ref="J27:J32" si="21">Inu_to_Nnu(E27,C27)</f>
        <v>9.4518934541452538E-3</v>
      </c>
      <c r="K27" s="26">
        <f t="shared" ref="K27:K32" si="22">sr_to_arcsec2(J27)</f>
        <v>2.2211950143352582E-13</v>
      </c>
      <c r="L27" s="26">
        <f t="shared" ref="L27:L32" si="23">Ilambda_to_Nlambda(H27,B27)</f>
        <v>314840943979.35181</v>
      </c>
      <c r="M27" s="4">
        <f t="shared" ref="M27:M32" si="24">sr_to_arcsec2(L27)</f>
        <v>7.3987623587615143</v>
      </c>
      <c r="N27" s="26">
        <f t="shared" ref="N27:N32" si="25">L27*A27^2</f>
        <v>2.8336062768533803</v>
      </c>
      <c r="O27" s="26">
        <f t="shared" ref="O27:O32" si="26">Inu_to_Antenna_Temperature(E27,C27)</f>
        <v>2.0398869264084123E-10</v>
      </c>
      <c r="P27" s="26">
        <f t="shared" si="13"/>
        <v>8.5063851919796329E-14</v>
      </c>
    </row>
    <row r="28" spans="1:16">
      <c r="A28" s="26">
        <f t="shared" si="14"/>
        <v>3.8746799999999998E-6</v>
      </c>
      <c r="B28" s="30">
        <v>3.8746800000000001</v>
      </c>
      <c r="C28" s="26">
        <f t="shared" si="15"/>
        <v>77372182477004.547</v>
      </c>
      <c r="D28" s="26">
        <f t="shared" si="16"/>
        <v>77.372182477004543</v>
      </c>
      <c r="E28" s="3">
        <f t="shared" si="17"/>
        <v>5.722459049890507E-22</v>
      </c>
      <c r="F28" s="26">
        <f t="shared" si="18"/>
        <v>1.3447779085766171E-32</v>
      </c>
      <c r="G28" s="31">
        <v>5.7224590498905069E-2</v>
      </c>
      <c r="H28" s="26">
        <f t="shared" si="19"/>
        <v>1.1426986120797442E-8</v>
      </c>
      <c r="I28" s="26">
        <f t="shared" si="20"/>
        <v>2.6853418019922822E-19</v>
      </c>
      <c r="J28" s="26">
        <f t="shared" si="21"/>
        <v>1.1161994773536141E-2</v>
      </c>
      <c r="K28" s="26">
        <f t="shared" si="22"/>
        <v>2.6230688339108814E-13</v>
      </c>
      <c r="L28" s="26">
        <f t="shared" si="23"/>
        <v>222890121616.6004</v>
      </c>
      <c r="M28" s="4">
        <f t="shared" si="24"/>
        <v>5.2379179820551949</v>
      </c>
      <c r="N28" s="26">
        <f t="shared" si="25"/>
        <v>3.3462817377216041</v>
      </c>
      <c r="O28" s="26">
        <f t="shared" si="26"/>
        <v>3.1112920768371369E-10</v>
      </c>
      <c r="P28" s="26">
        <f t="shared" si="13"/>
        <v>1.6756813046148253E-13</v>
      </c>
    </row>
    <row r="29" spans="1:16">
      <c r="A29" s="26">
        <f t="shared" si="14"/>
        <v>4.8559499999999996E-6</v>
      </c>
      <c r="B29" s="30">
        <v>4.85595</v>
      </c>
      <c r="C29" s="26">
        <f t="shared" si="15"/>
        <v>61737136502641.094</v>
      </c>
      <c r="D29" s="26">
        <f t="shared" si="16"/>
        <v>61.737136502641093</v>
      </c>
      <c r="E29" s="3">
        <f t="shared" si="17"/>
        <v>4.9534428265744313E-22</v>
      </c>
      <c r="F29" s="26">
        <f t="shared" si="18"/>
        <v>1.1640590918168417E-32</v>
      </c>
      <c r="G29" s="31">
        <v>4.9534428265744314E-2</v>
      </c>
      <c r="H29" s="26">
        <f t="shared" si="19"/>
        <v>6.2976631955076554E-9</v>
      </c>
      <c r="I29" s="26">
        <f t="shared" si="20"/>
        <v>1.4799508859983481E-19</v>
      </c>
      <c r="J29" s="26">
        <f t="shared" si="21"/>
        <v>1.21088985666275E-2</v>
      </c>
      <c r="K29" s="26">
        <f t="shared" si="22"/>
        <v>2.8455912305580063E-13</v>
      </c>
      <c r="L29" s="26">
        <f t="shared" si="23"/>
        <v>153949015888.65558</v>
      </c>
      <c r="M29" s="4">
        <f t="shared" si="24"/>
        <v>3.6178019590744976</v>
      </c>
      <c r="N29" s="26">
        <f t="shared" si="25"/>
        <v>3.6301563438729487</v>
      </c>
      <c r="O29" s="26">
        <f t="shared" si="26"/>
        <v>4.2300156551449898E-10</v>
      </c>
      <c r="P29" s="26">
        <f t="shared" si="13"/>
        <v>2.8551634883635826E-13</v>
      </c>
    </row>
    <row r="30" spans="1:16">
      <c r="A30" s="26">
        <f t="shared" si="14"/>
        <v>6.2717000000000004E-6</v>
      </c>
      <c r="B30" s="30">
        <v>6.2717000000000001</v>
      </c>
      <c r="C30" s="26">
        <f t="shared" si="15"/>
        <v>47800827207934.055</v>
      </c>
      <c r="D30" s="26">
        <f t="shared" si="16"/>
        <v>47.800827207934056</v>
      </c>
      <c r="E30" s="3">
        <f t="shared" si="17"/>
        <v>4.3111233508644314E-22</v>
      </c>
      <c r="F30" s="26">
        <f t="shared" si="18"/>
        <v>1.0131140114497135E-32</v>
      </c>
      <c r="G30" s="31">
        <v>4.311123350864432E-2</v>
      </c>
      <c r="H30" s="26">
        <f t="shared" si="19"/>
        <v>3.2857959144531845E-9</v>
      </c>
      <c r="I30" s="26">
        <f t="shared" si="20"/>
        <v>7.7216205818589355E-20</v>
      </c>
      <c r="J30" s="26">
        <f t="shared" si="21"/>
        <v>1.3611281177183054E-2</v>
      </c>
      <c r="K30" s="26">
        <f t="shared" si="22"/>
        <v>3.1986511524011225E-13</v>
      </c>
      <c r="L30" s="26">
        <f t="shared" si="23"/>
        <v>103740692257.14438</v>
      </c>
      <c r="M30" s="4">
        <f t="shared" si="24"/>
        <v>2.4379063257870306</v>
      </c>
      <c r="N30" s="26">
        <f t="shared" si="25"/>
        <v>4.08055930452403</v>
      </c>
      <c r="O30" s="26">
        <f t="shared" si="26"/>
        <v>6.1411175273856816E-10</v>
      </c>
      <c r="P30" s="26">
        <f t="shared" si="13"/>
        <v>5.3536193047141641E-13</v>
      </c>
    </row>
    <row r="31" spans="1:16">
      <c r="A31" s="26">
        <f t="shared" si="14"/>
        <v>7.7426400000000005E-6</v>
      </c>
      <c r="B31" s="30">
        <v>7.7426399999999997</v>
      </c>
      <c r="C31" s="26">
        <f t="shared" si="15"/>
        <v>38719667710238.367</v>
      </c>
      <c r="D31" s="26">
        <f t="shared" si="16"/>
        <v>38.719667710238369</v>
      </c>
      <c r="E31" s="3">
        <f t="shared" si="17"/>
        <v>3.6760267797652281E-22</v>
      </c>
      <c r="F31" s="26">
        <f t="shared" si="18"/>
        <v>8.6386631370632664E-33</v>
      </c>
      <c r="G31" s="31">
        <v>3.6760267797652284E-2</v>
      </c>
      <c r="H31" s="26">
        <f t="shared" si="19"/>
        <v>1.8383204618379164E-9</v>
      </c>
      <c r="I31" s="26">
        <f t="shared" si="20"/>
        <v>4.3200531876436858E-20</v>
      </c>
      <c r="J31" s="26">
        <f t="shared" si="21"/>
        <v>1.4328179502249707E-2</v>
      </c>
      <c r="K31" s="26">
        <f t="shared" si="22"/>
        <v>3.3671222627821852E-13</v>
      </c>
      <c r="L31" s="26">
        <f t="shared" si="23"/>
        <v>71652866363.379578</v>
      </c>
      <c r="M31" s="4">
        <f t="shared" si="24"/>
        <v>1.683842399422834</v>
      </c>
      <c r="N31" s="26">
        <f t="shared" si="25"/>
        <v>4.2954800083628619</v>
      </c>
      <c r="O31" s="26">
        <f t="shared" si="26"/>
        <v>7.9807408324069501E-10</v>
      </c>
      <c r="P31" s="26">
        <f t="shared" si="13"/>
        <v>8.5890884446092E-13</v>
      </c>
    </row>
    <row r="32" spans="1:16">
      <c r="A32" s="26">
        <f t="shared" si="14"/>
        <v>8.602809999999999E-6</v>
      </c>
      <c r="B32" s="30">
        <v>8.6028099999999998</v>
      </c>
      <c r="C32" s="26">
        <f t="shared" si="15"/>
        <v>34848200529826.883</v>
      </c>
      <c r="D32" s="26">
        <f t="shared" si="16"/>
        <v>34.848200529826883</v>
      </c>
      <c r="E32" s="3">
        <f t="shared" si="17"/>
        <v>3.1136714708321651E-22</v>
      </c>
      <c r="F32" s="26">
        <f t="shared" si="18"/>
        <v>7.3171281297687503E-33</v>
      </c>
      <c r="G32" s="31">
        <v>3.1136714708321651E-2</v>
      </c>
      <c r="H32" s="26">
        <f t="shared" si="19"/>
        <v>1.261283787501529E-9</v>
      </c>
      <c r="I32" s="26">
        <f t="shared" si="20"/>
        <v>2.9640169708341637E-20</v>
      </c>
      <c r="J32" s="26">
        <f t="shared" si="21"/>
        <v>1.3484548168058986E-2</v>
      </c>
      <c r="K32" s="26">
        <f t="shared" si="22"/>
        <v>3.1688688945515452E-13</v>
      </c>
      <c r="L32" s="26">
        <f t="shared" si="23"/>
        <v>54623110194.765343</v>
      </c>
      <c r="M32" s="4">
        <f t="shared" si="24"/>
        <v>1.2836431199812977</v>
      </c>
      <c r="N32" s="26">
        <f t="shared" si="25"/>
        <v>4.042565705476318</v>
      </c>
      <c r="O32" s="26">
        <f t="shared" si="26"/>
        <v>8.3452597217544846E-10</v>
      </c>
      <c r="P32" s="26">
        <f t="shared" si="13"/>
        <v>9.9791830463800299E-13</v>
      </c>
    </row>
    <row r="33" spans="2:16">
      <c r="B33" s="3"/>
      <c r="E33" s="3"/>
      <c r="G33" s="29"/>
      <c r="M33" s="4"/>
    </row>
    <row r="34" spans="2:16">
      <c r="B34" s="3"/>
      <c r="E34" s="3"/>
      <c r="G34" s="29"/>
      <c r="M34" s="4"/>
    </row>
    <row r="35" spans="2:16">
      <c r="B35" s="3"/>
      <c r="E35" s="3"/>
      <c r="G35" s="29"/>
      <c r="M35" s="4"/>
    </row>
    <row r="36" spans="2:16">
      <c r="B36" s="23"/>
      <c r="P36" s="26">
        <f t="shared" si="13"/>
        <v>0</v>
      </c>
    </row>
    <row r="37" spans="2:16">
      <c r="P37" s="26">
        <f t="shared" si="13"/>
        <v>0</v>
      </c>
    </row>
    <row r="38" spans="2:16">
      <c r="P38" s="26">
        <f t="shared" si="13"/>
        <v>0</v>
      </c>
    </row>
    <row r="39" spans="2:16">
      <c r="P39" s="26">
        <f t="shared" si="13"/>
        <v>0</v>
      </c>
    </row>
    <row r="40" spans="2:16">
      <c r="P40" s="26">
        <f t="shared" si="13"/>
        <v>0</v>
      </c>
    </row>
    <row r="41" spans="2:16">
      <c r="P41" s="26">
        <f t="shared" si="13"/>
        <v>0</v>
      </c>
    </row>
    <row r="42" spans="2:16">
      <c r="P42" s="26">
        <f t="shared" si="13"/>
        <v>0</v>
      </c>
    </row>
    <row r="43" spans="2:16">
      <c r="P43" s="26">
        <f t="shared" si="13"/>
        <v>0</v>
      </c>
    </row>
    <row r="44" spans="2:16">
      <c r="P44" s="26">
        <f t="shared" si="13"/>
        <v>0</v>
      </c>
    </row>
    <row r="45" spans="2:16">
      <c r="P45" s="26">
        <f t="shared" si="13"/>
        <v>0</v>
      </c>
    </row>
    <row r="46" spans="2:16">
      <c r="P46" s="26">
        <f t="shared" si="13"/>
        <v>0</v>
      </c>
    </row>
    <row r="47" spans="2:16">
      <c r="P47" s="26">
        <f t="shared" si="13"/>
        <v>0</v>
      </c>
    </row>
    <row r="48" spans="2:16">
      <c r="P48" s="26">
        <f t="shared" si="13"/>
        <v>0</v>
      </c>
    </row>
    <row r="49" spans="16:16">
      <c r="P49" s="26">
        <f t="shared" si="13"/>
        <v>0</v>
      </c>
    </row>
    <row r="50" spans="16:16">
      <c r="P50" s="26">
        <f t="shared" si="13"/>
        <v>0</v>
      </c>
    </row>
    <row r="51" spans="16:16">
      <c r="P51" s="26">
        <f t="shared" si="13"/>
        <v>0</v>
      </c>
    </row>
    <row r="52" spans="16:16">
      <c r="P52" s="26">
        <f t="shared" si="13"/>
        <v>0</v>
      </c>
    </row>
    <row r="53" spans="16:16">
      <c r="P53" s="26">
        <f t="shared" si="13"/>
        <v>0</v>
      </c>
    </row>
    <row r="54" spans="16:16">
      <c r="P54" s="26">
        <f t="shared" si="13"/>
        <v>0</v>
      </c>
    </row>
    <row r="55" spans="16:16">
      <c r="P55" s="26">
        <f t="shared" si="13"/>
        <v>0</v>
      </c>
    </row>
    <row r="56" spans="16:16">
      <c r="P56" s="26">
        <f t="shared" si="13"/>
        <v>0</v>
      </c>
    </row>
    <row r="57" spans="16:16">
      <c r="P57" s="26">
        <f t="shared" si="13"/>
        <v>0</v>
      </c>
    </row>
    <row r="58" spans="16:16">
      <c r="P58" s="26">
        <f t="shared" si="13"/>
        <v>0</v>
      </c>
    </row>
    <row r="59" spans="16:16">
      <c r="P59" s="26">
        <f t="shared" si="13"/>
        <v>0</v>
      </c>
    </row>
    <row r="60" spans="16:16">
      <c r="P60" s="26">
        <f t="shared" si="13"/>
        <v>0</v>
      </c>
    </row>
    <row r="61" spans="16:16">
      <c r="P61" s="26">
        <f t="shared" si="13"/>
        <v>0</v>
      </c>
    </row>
    <row r="62" spans="16:16">
      <c r="P62" s="26">
        <f t="shared" si="13"/>
        <v>0</v>
      </c>
    </row>
    <row r="63" spans="16:16">
      <c r="P63" s="26">
        <f t="shared" si="13"/>
        <v>0</v>
      </c>
    </row>
    <row r="64" spans="16:16">
      <c r="P64" s="26">
        <f t="shared" si="13"/>
        <v>0</v>
      </c>
    </row>
    <row r="65" spans="16:16">
      <c r="P65" s="26">
        <f t="shared" si="13"/>
        <v>0</v>
      </c>
    </row>
    <row r="66" spans="16:16">
      <c r="P66" s="26">
        <f t="shared" si="13"/>
        <v>0</v>
      </c>
    </row>
    <row r="67" spans="16:16">
      <c r="P67" s="26">
        <f t="shared" si="13"/>
        <v>0</v>
      </c>
    </row>
    <row r="68" spans="16:16">
      <c r="P68" s="26">
        <f t="shared" si="13"/>
        <v>0</v>
      </c>
    </row>
    <row r="69" spans="16:16">
      <c r="P69" s="26">
        <f t="shared" si="13"/>
        <v>0</v>
      </c>
    </row>
    <row r="70" spans="16:16">
      <c r="P70" s="26">
        <f t="shared" si="13"/>
        <v>0</v>
      </c>
    </row>
    <row r="71" spans="16:16">
      <c r="P71" s="26">
        <f t="shared" si="13"/>
        <v>0</v>
      </c>
    </row>
    <row r="72" spans="16:16">
      <c r="P72" s="26">
        <f t="shared" ref="P72:P135" si="27">0.000139*O72*B72</f>
        <v>0</v>
      </c>
    </row>
    <row r="73" spans="16:16">
      <c r="P73" s="26">
        <f t="shared" si="27"/>
        <v>0</v>
      </c>
    </row>
    <row r="74" spans="16:16">
      <c r="P74" s="26">
        <f t="shared" si="27"/>
        <v>0</v>
      </c>
    </row>
    <row r="75" spans="16:16">
      <c r="P75" s="26">
        <f t="shared" si="27"/>
        <v>0</v>
      </c>
    </row>
    <row r="76" spans="16:16">
      <c r="P76" s="26">
        <f t="shared" si="27"/>
        <v>0</v>
      </c>
    </row>
    <row r="77" spans="16:16">
      <c r="P77" s="26">
        <f t="shared" si="27"/>
        <v>0</v>
      </c>
    </row>
    <row r="78" spans="16:16">
      <c r="P78" s="26">
        <f t="shared" si="27"/>
        <v>0</v>
      </c>
    </row>
    <row r="79" spans="16:16">
      <c r="P79" s="26">
        <f t="shared" si="27"/>
        <v>0</v>
      </c>
    </row>
    <row r="80" spans="16:16">
      <c r="P80" s="26">
        <f t="shared" si="27"/>
        <v>0</v>
      </c>
    </row>
    <row r="81" spans="16:16">
      <c r="P81" s="26">
        <f t="shared" si="27"/>
        <v>0</v>
      </c>
    </row>
    <row r="82" spans="16:16">
      <c r="P82" s="26">
        <f t="shared" si="27"/>
        <v>0</v>
      </c>
    </row>
    <row r="83" spans="16:16">
      <c r="P83" s="26">
        <f t="shared" si="27"/>
        <v>0</v>
      </c>
    </row>
    <row r="84" spans="16:16">
      <c r="P84" s="26">
        <f t="shared" si="27"/>
        <v>0</v>
      </c>
    </row>
    <row r="85" spans="16:16">
      <c r="P85" s="26">
        <f t="shared" si="27"/>
        <v>0</v>
      </c>
    </row>
    <row r="86" spans="16:16">
      <c r="P86" s="26">
        <f t="shared" si="27"/>
        <v>0</v>
      </c>
    </row>
    <row r="87" spans="16:16">
      <c r="P87" s="26">
        <f t="shared" si="27"/>
        <v>0</v>
      </c>
    </row>
    <row r="88" spans="16:16">
      <c r="P88" s="26">
        <f t="shared" si="27"/>
        <v>0</v>
      </c>
    </row>
    <row r="89" spans="16:16">
      <c r="P89" s="26">
        <f t="shared" si="27"/>
        <v>0</v>
      </c>
    </row>
    <row r="90" spans="16:16">
      <c r="P90" s="26">
        <f t="shared" si="27"/>
        <v>0</v>
      </c>
    </row>
    <row r="91" spans="16:16">
      <c r="P91" s="26">
        <f t="shared" si="27"/>
        <v>0</v>
      </c>
    </row>
    <row r="92" spans="16:16">
      <c r="P92" s="26">
        <f t="shared" si="27"/>
        <v>0</v>
      </c>
    </row>
    <row r="93" spans="16:16">
      <c r="P93" s="26">
        <f t="shared" si="27"/>
        <v>0</v>
      </c>
    </row>
    <row r="94" spans="16:16">
      <c r="P94" s="26">
        <f t="shared" si="27"/>
        <v>0</v>
      </c>
    </row>
    <row r="95" spans="16:16">
      <c r="P95" s="26">
        <f t="shared" si="27"/>
        <v>0</v>
      </c>
    </row>
    <row r="96" spans="16:16">
      <c r="P96" s="26">
        <f t="shared" si="27"/>
        <v>0</v>
      </c>
    </row>
    <row r="97" spans="16:16">
      <c r="P97" s="26">
        <f t="shared" si="27"/>
        <v>0</v>
      </c>
    </row>
    <row r="98" spans="16:16">
      <c r="P98" s="26">
        <f t="shared" si="27"/>
        <v>0</v>
      </c>
    </row>
    <row r="99" spans="16:16">
      <c r="P99" s="26">
        <f t="shared" si="27"/>
        <v>0</v>
      </c>
    </row>
    <row r="100" spans="16:16">
      <c r="P100" s="26">
        <f t="shared" si="27"/>
        <v>0</v>
      </c>
    </row>
    <row r="101" spans="16:16">
      <c r="P101" s="26">
        <f t="shared" si="27"/>
        <v>0</v>
      </c>
    </row>
    <row r="102" spans="16:16">
      <c r="P102" s="26">
        <f t="shared" si="27"/>
        <v>0</v>
      </c>
    </row>
    <row r="103" spans="16:16">
      <c r="P103" s="26">
        <f t="shared" si="27"/>
        <v>0</v>
      </c>
    </row>
    <row r="104" spans="16:16">
      <c r="P104" s="26">
        <f t="shared" si="27"/>
        <v>0</v>
      </c>
    </row>
    <row r="105" spans="16:16">
      <c r="P105" s="26">
        <f t="shared" si="27"/>
        <v>0</v>
      </c>
    </row>
    <row r="106" spans="16:16">
      <c r="P106" s="26">
        <f t="shared" si="27"/>
        <v>0</v>
      </c>
    </row>
    <row r="107" spans="16:16">
      <c r="P107" s="26">
        <f t="shared" si="27"/>
        <v>0</v>
      </c>
    </row>
    <row r="108" spans="16:16">
      <c r="P108" s="26">
        <f t="shared" si="27"/>
        <v>0</v>
      </c>
    </row>
    <row r="109" spans="16:16">
      <c r="P109" s="26">
        <f t="shared" si="27"/>
        <v>0</v>
      </c>
    </row>
    <row r="110" spans="16:16">
      <c r="P110" s="26">
        <f t="shared" si="27"/>
        <v>0</v>
      </c>
    </row>
    <row r="111" spans="16:16">
      <c r="P111" s="26">
        <f t="shared" si="27"/>
        <v>0</v>
      </c>
    </row>
    <row r="112" spans="16:16">
      <c r="P112" s="26">
        <f t="shared" si="27"/>
        <v>0</v>
      </c>
    </row>
    <row r="113" spans="16:16">
      <c r="P113" s="26">
        <f t="shared" si="27"/>
        <v>0</v>
      </c>
    </row>
    <row r="114" spans="16:16">
      <c r="P114" s="26">
        <f t="shared" si="27"/>
        <v>0</v>
      </c>
    </row>
    <row r="115" spans="16:16">
      <c r="P115" s="26">
        <f t="shared" si="27"/>
        <v>0</v>
      </c>
    </row>
    <row r="116" spans="16:16">
      <c r="P116" s="26">
        <f t="shared" si="27"/>
        <v>0</v>
      </c>
    </row>
    <row r="117" spans="16:16">
      <c r="P117" s="26">
        <f t="shared" si="27"/>
        <v>0</v>
      </c>
    </row>
    <row r="118" spans="16:16">
      <c r="P118" s="26">
        <f t="shared" si="27"/>
        <v>0</v>
      </c>
    </row>
    <row r="119" spans="16:16">
      <c r="P119" s="26">
        <f t="shared" si="27"/>
        <v>0</v>
      </c>
    </row>
    <row r="120" spans="16:16">
      <c r="P120" s="26">
        <f t="shared" si="27"/>
        <v>0</v>
      </c>
    </row>
    <row r="121" spans="16:16">
      <c r="P121" s="26">
        <f t="shared" si="27"/>
        <v>0</v>
      </c>
    </row>
    <row r="122" spans="16:16">
      <c r="P122" s="26">
        <f t="shared" si="27"/>
        <v>0</v>
      </c>
    </row>
    <row r="123" spans="16:16">
      <c r="P123" s="26">
        <f t="shared" si="27"/>
        <v>0</v>
      </c>
    </row>
    <row r="124" spans="16:16">
      <c r="P124" s="26">
        <f t="shared" si="27"/>
        <v>0</v>
      </c>
    </row>
    <row r="125" spans="16:16">
      <c r="P125" s="26">
        <f t="shared" si="27"/>
        <v>0</v>
      </c>
    </row>
    <row r="126" spans="16:16">
      <c r="P126" s="26">
        <f t="shared" si="27"/>
        <v>0</v>
      </c>
    </row>
    <row r="127" spans="16:16">
      <c r="P127" s="26">
        <f t="shared" si="27"/>
        <v>0</v>
      </c>
    </row>
    <row r="128" spans="16:16">
      <c r="P128" s="26">
        <f t="shared" si="27"/>
        <v>0</v>
      </c>
    </row>
    <row r="129" spans="16:16">
      <c r="P129" s="26">
        <f t="shared" si="27"/>
        <v>0</v>
      </c>
    </row>
    <row r="130" spans="16:16">
      <c r="P130" s="26">
        <f t="shared" si="27"/>
        <v>0</v>
      </c>
    </row>
    <row r="131" spans="16:16">
      <c r="P131" s="26">
        <f t="shared" si="27"/>
        <v>0</v>
      </c>
    </row>
    <row r="132" spans="16:16">
      <c r="P132" s="26">
        <f t="shared" si="27"/>
        <v>0</v>
      </c>
    </row>
    <row r="133" spans="16:16">
      <c r="P133" s="26">
        <f t="shared" si="27"/>
        <v>0</v>
      </c>
    </row>
    <row r="134" spans="16:16">
      <c r="P134" s="26">
        <f t="shared" si="27"/>
        <v>0</v>
      </c>
    </row>
    <row r="135" spans="16:16">
      <c r="P135" s="26">
        <f t="shared" si="27"/>
        <v>0</v>
      </c>
    </row>
    <row r="136" spans="16:16">
      <c r="P136" s="26">
        <f t="shared" ref="P136:P181" si="28">0.000139*O136*B136</f>
        <v>0</v>
      </c>
    </row>
    <row r="137" spans="16:16">
      <c r="P137" s="26">
        <f t="shared" si="28"/>
        <v>0</v>
      </c>
    </row>
    <row r="138" spans="16:16">
      <c r="P138" s="26">
        <f t="shared" si="28"/>
        <v>0</v>
      </c>
    </row>
    <row r="139" spans="16:16">
      <c r="P139" s="26">
        <f t="shared" si="28"/>
        <v>0</v>
      </c>
    </row>
    <row r="140" spans="16:16">
      <c r="P140" s="26">
        <f t="shared" si="28"/>
        <v>0</v>
      </c>
    </row>
    <row r="141" spans="16:16">
      <c r="P141" s="26">
        <f t="shared" si="28"/>
        <v>0</v>
      </c>
    </row>
    <row r="142" spans="16:16">
      <c r="P142" s="26">
        <f t="shared" si="28"/>
        <v>0</v>
      </c>
    </row>
    <row r="143" spans="16:16">
      <c r="P143" s="26">
        <f t="shared" si="28"/>
        <v>0</v>
      </c>
    </row>
    <row r="144" spans="16:16">
      <c r="P144" s="26">
        <f t="shared" si="28"/>
        <v>0</v>
      </c>
    </row>
    <row r="145" spans="16:16">
      <c r="P145" s="26">
        <f t="shared" si="28"/>
        <v>0</v>
      </c>
    </row>
    <row r="146" spans="16:16">
      <c r="P146" s="26">
        <f t="shared" si="28"/>
        <v>0</v>
      </c>
    </row>
    <row r="147" spans="16:16">
      <c r="P147" s="26">
        <f t="shared" si="28"/>
        <v>0</v>
      </c>
    </row>
    <row r="148" spans="16:16">
      <c r="P148" s="26">
        <f t="shared" si="28"/>
        <v>0</v>
      </c>
    </row>
    <row r="149" spans="16:16">
      <c r="P149" s="26">
        <f t="shared" si="28"/>
        <v>0</v>
      </c>
    </row>
    <row r="150" spans="16:16">
      <c r="P150" s="26">
        <f t="shared" si="28"/>
        <v>0</v>
      </c>
    </row>
    <row r="151" spans="16:16">
      <c r="P151" s="26">
        <f t="shared" si="28"/>
        <v>0</v>
      </c>
    </row>
    <row r="152" spans="16:16">
      <c r="P152" s="26">
        <f t="shared" si="28"/>
        <v>0</v>
      </c>
    </row>
    <row r="153" spans="16:16">
      <c r="P153" s="26">
        <f t="shared" si="28"/>
        <v>0</v>
      </c>
    </row>
    <row r="154" spans="16:16">
      <c r="P154" s="26">
        <f t="shared" si="28"/>
        <v>0</v>
      </c>
    </row>
    <row r="155" spans="16:16">
      <c r="P155" s="26">
        <f t="shared" si="28"/>
        <v>0</v>
      </c>
    </row>
    <row r="156" spans="16:16">
      <c r="P156" s="26">
        <f t="shared" si="28"/>
        <v>0</v>
      </c>
    </row>
    <row r="157" spans="16:16">
      <c r="P157" s="26">
        <f t="shared" si="28"/>
        <v>0</v>
      </c>
    </row>
    <row r="158" spans="16:16">
      <c r="P158" s="26">
        <f t="shared" si="28"/>
        <v>0</v>
      </c>
    </row>
    <row r="159" spans="16:16">
      <c r="P159" s="26">
        <f t="shared" si="28"/>
        <v>0</v>
      </c>
    </row>
    <row r="160" spans="16:16">
      <c r="P160" s="26">
        <f t="shared" si="28"/>
        <v>0</v>
      </c>
    </row>
    <row r="161" spans="16:16">
      <c r="P161" s="26">
        <f t="shared" si="28"/>
        <v>0</v>
      </c>
    </row>
    <row r="162" spans="16:16">
      <c r="P162" s="26">
        <f t="shared" si="28"/>
        <v>0</v>
      </c>
    </row>
    <row r="163" spans="16:16">
      <c r="P163" s="26">
        <f t="shared" si="28"/>
        <v>0</v>
      </c>
    </row>
    <row r="164" spans="16:16">
      <c r="P164" s="26">
        <f t="shared" si="28"/>
        <v>0</v>
      </c>
    </row>
    <row r="165" spans="16:16">
      <c r="P165" s="26">
        <f t="shared" si="28"/>
        <v>0</v>
      </c>
    </row>
    <row r="166" spans="16:16">
      <c r="P166" s="26">
        <f t="shared" si="28"/>
        <v>0</v>
      </c>
    </row>
    <row r="167" spans="16:16">
      <c r="P167" s="26">
        <f t="shared" si="28"/>
        <v>0</v>
      </c>
    </row>
    <row r="168" spans="16:16">
      <c r="P168" s="26">
        <f t="shared" si="28"/>
        <v>0</v>
      </c>
    </row>
    <row r="169" spans="16:16">
      <c r="P169" s="26">
        <f t="shared" si="28"/>
        <v>0</v>
      </c>
    </row>
    <row r="170" spans="16:16">
      <c r="P170" s="26">
        <f t="shared" si="28"/>
        <v>0</v>
      </c>
    </row>
    <row r="171" spans="16:16">
      <c r="P171" s="26">
        <f t="shared" si="28"/>
        <v>0</v>
      </c>
    </row>
    <row r="172" spans="16:16">
      <c r="P172" s="26">
        <f t="shared" si="28"/>
        <v>0</v>
      </c>
    </row>
    <row r="173" spans="16:16">
      <c r="P173" s="26">
        <f t="shared" si="28"/>
        <v>0</v>
      </c>
    </row>
    <row r="174" spans="16:16">
      <c r="P174" s="26">
        <f t="shared" si="28"/>
        <v>0</v>
      </c>
    </row>
    <row r="175" spans="16:16">
      <c r="P175" s="26">
        <f t="shared" si="28"/>
        <v>0</v>
      </c>
    </row>
    <row r="176" spans="16:16">
      <c r="P176" s="26">
        <f t="shared" si="28"/>
        <v>0</v>
      </c>
    </row>
    <row r="177" spans="16:16">
      <c r="P177" s="26">
        <f t="shared" si="28"/>
        <v>0</v>
      </c>
    </row>
    <row r="178" spans="16:16">
      <c r="P178" s="26">
        <f t="shared" si="28"/>
        <v>0</v>
      </c>
    </row>
    <row r="179" spans="16:16">
      <c r="P179" s="26">
        <f t="shared" si="28"/>
        <v>0</v>
      </c>
    </row>
    <row r="180" spans="16:16">
      <c r="P180" s="26">
        <f t="shared" si="28"/>
        <v>0</v>
      </c>
    </row>
    <row r="181" spans="16:16">
      <c r="P181" s="26">
        <f t="shared" si="28"/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CIB</vt:lpstr>
      <vt:lpstr>CMB</vt:lpstr>
      <vt:lpstr>Zodi 90</vt:lpstr>
      <vt:lpstr>Zodi 45</vt:lpstr>
      <vt:lpstr>Zodi 0</vt:lpstr>
      <vt:lpstr>OH Line Bins</vt:lpstr>
      <vt:lpstr>Zodi 90 + Scattered Zodi</vt:lpstr>
      <vt:lpstr>Faint Stars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Lenssen</dc:creator>
  <cp:lastModifiedBy>Lubin</cp:lastModifiedBy>
  <dcterms:created xsi:type="dcterms:W3CDTF">2012-09-11T23:26:25Z</dcterms:created>
  <dcterms:modified xsi:type="dcterms:W3CDTF">2017-12-09T10:12:08Z</dcterms:modified>
</cp:coreProperties>
</file>